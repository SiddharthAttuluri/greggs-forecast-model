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_rels/workbook.xml.rels" ContentType="application/vnd.openxmlformats-package.relationships+xml"/>
  <Override PartName="/xl/media/image1.png" ContentType="image/png"/>
  <Override PartName="/xl/media/image2.png" ContentType="image/png"/>
  <Override PartName="/xl/comments11.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Notes" sheetId="2" state="visible" r:id="rId4"/>
    <sheet name="Historical" sheetId="3" state="visible" r:id="rId5"/>
    <sheet name="Revenue" sheetId="4" state="visible" r:id="rId6"/>
    <sheet name="Forecast" sheetId="5" state="visible" r:id="rId7"/>
    <sheet name="Drivers" sheetId="6" state="visible" r:id="rId8"/>
    <sheet name="Scenarios" sheetId="7" state="visible" r:id="rId9"/>
    <sheet name="Variance" sheetId="8" state="visible" r:id="rId10"/>
    <sheet name="Tax &amp; Audit" sheetId="9" state="visible" r:id="rId11"/>
    <sheet name="Simulation" sheetId="10" state="visible" r:id="rId12"/>
    <sheet name="Checks" sheetId="11" state="visible" r:id="rId13"/>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Statutory total, including exceptional items (FY23 +0.3, FY24 +0.3).</t>
        </r>
      </text>
    </comment>
    <comment ref="A11" authorId="0">
      <text>
        <r>
          <rPr>
            <sz val="10"/>
            <rFont val="Arial"/>
            <family val="2"/>
          </rPr>
          <t xml:space="preserve">Statutory total. FY25 includes a 3.8 exceptional charge.</t>
        </r>
      </text>
    </comment>
    <comment ref="A12" authorId="0">
      <text>
        <r>
          <rPr>
            <sz val="10"/>
            <rFont val="Arial"/>
            <family val="2"/>
          </rPr>
          <t xml:space="preserve">Exceptional other income: FY23 20.3, FY24 13.8. See Note 4 in each report.</t>
        </r>
      </text>
    </comment>
    <comment ref="A14" authorId="0">
      <text>
        <r>
          <rPr>
            <sz val="10"/>
            <rFont val="Arial"/>
            <family val="2"/>
          </rPr>
          <t xml:space="preserve">FY21 and FY22 were reported only as a net finance expense on the face of the IS. Split taken from the finance note: FY22 = interest income 1.3 + FX gain 0.1.</t>
        </r>
      </text>
    </comment>
    <comment ref="A15" authorId="0">
      <text>
        <r>
          <rPr>
            <sz val="10"/>
            <rFont val="Arial"/>
            <family val="2"/>
          </rPr>
          <t xml:space="preserve">Mostly interest on lease liabilities. FY25 includes a 0.7 exceptional charge.</t>
        </r>
      </text>
    </comment>
    <comment ref="A21" authorId="0">
      <text>
        <r>
          <rPr>
            <sz val="10"/>
            <rFont val="Arial"/>
            <family val="2"/>
          </rPr>
          <t xml:space="preserve">FY23 20.6 and FY24 14.1: mainly exceptional other income; read Note 4 in AR24 and AR25 to see what it was. FY25: charge of 3.8 in admin expenses.</t>
        </r>
      </text>
    </comment>
    <comment ref="A39" authorId="0">
      <text>
        <r>
          <rPr>
            <sz val="10"/>
            <rFont val="Arial"/>
            <family val="2"/>
          </rPr>
          <t xml:space="preserve">Only FY21's opening figure is typed; later years link to the prior year's closing shops.</t>
        </r>
      </text>
    </comment>
    <comment ref="A41" authorId="0">
      <text>
        <r>
          <rPr>
            <sz val="10"/>
            <rFont val="Arial"/>
            <family val="2"/>
          </rPr>
          <t xml:space="preserve">FY21: AR21 says 'we currently have ... 375 franchise locations' (written in early 2022), so treat as approximate. FY25: 602 franchised and 2,137 company-managed, from the Q4 trading update (8 Jan 2026).</t>
        </r>
      </text>
    </comment>
    <comment ref="A43" authorId="0">
      <text>
        <r>
          <rPr>
            <sz val="10"/>
            <rFont val="Arial"/>
            <family val="2"/>
          </rPr>
          <t xml:space="preserve">Includes franchised openings (FY22: 70; FY23: 72; FY24: 63). FY25: 207 opened and 86 closed (50 relocations, 36 closures), from the Q4 trading update (8 Jan 2026).</t>
        </r>
      </text>
    </comment>
    <comment ref="A44" authorId="0">
      <text>
        <r>
          <rPr>
            <sz val="10"/>
            <rFont val="Arial"/>
            <family val="2"/>
          </rPr>
          <t xml:space="preserve">FY23 derived: 220 opened less 145 net = 75. Relocations count as a closure plus an opening.</t>
        </r>
      </text>
    </comment>
    <comment ref="A47" authorId="0">
      <text>
        <r>
          <rPr>
            <sz val="10"/>
            <rFont val="Arial"/>
            <family val="2"/>
          </rPr>
          <t xml:space="preserve">FY21 is against Covid-hit 2020, so it is not a useful base. Against 2019, FY21 LFL was -3.3% (AR21 p18).</t>
        </r>
      </text>
    </comment>
    <comment ref="A49" authorId="0">
      <text>
        <r>
          <rPr>
            <sz val="10"/>
            <rFont val="Arial"/>
            <family val="2"/>
          </rPr>
          <t xml:space="preserve">Average of opening and closing company-managed shops. FY21 uses closing only. A simple first driver; refine it in Phase 2.</t>
        </r>
      </text>
    </comment>
    <comment ref="A69" authorId="0">
      <text>
        <r>
          <rPr>
            <sz val="10"/>
            <rFont val="Arial"/>
            <family val="2"/>
          </rPr>
          <t xml:space="preserve">First drawn in FY25: 40.0 drawn, 15.0 repaid (AR25 p134).</t>
        </r>
      </text>
    </comment>
    <comment ref="A94" authorId="0">
      <text>
        <r>
          <rPr>
            <sz val="10"/>
            <rFont val="Arial"/>
            <family val="2"/>
          </rPr>
          <t xml:space="preserve">Reported in investing activities up to FY23; moved to operating activities from FY25 (FY24 restated). Shown in operating for every year here, so FY22–23 operating and investing subtotals differ from those reports by this amount. The net change in cash is unaffected.</t>
        </r>
      </text>
    </comment>
    <comment ref="A108" authorId="0">
      <text>
        <r>
          <rPr>
            <sz val="10"/>
            <rFont val="Arial"/>
            <family val="2"/>
          </rPr>
          <t xml:space="preserve">FY22 and FY24 include special dividends (40p per share declared for FY21 and FY23).</t>
        </r>
      </text>
    </comment>
    <comment ref="A112" authorId="0">
      <text>
        <r>
          <rPr>
            <sz val="10"/>
            <rFont val="Arial"/>
            <family val="2"/>
          </rPr>
          <t xml:space="preserve">Only FY21's opening cash is typed; later years link to the prior year's closing cash.</t>
        </r>
      </text>
    </comment>
    <comment ref="A118" authorId="0">
      <text>
        <r>
          <rPr>
            <sz val="10"/>
            <rFont val="Arial"/>
            <family val="2"/>
          </rPr>
          <t xml:space="preserve">Operating cash flow, less capex, less lease principal. Before dividends and buybacks.</t>
        </r>
      </text>
    </comment>
    <comment ref="A130" authorId="0">
      <text>
        <r>
          <rPr>
            <sz val="10"/>
            <rFont val="Arial"/>
            <family val="2"/>
          </rPr>
          <t xml:space="preserve">FY21 and FY22 notes show only a net finance expense, so finance income is 0 here and the net figure sits in the next row.</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7" authorId="0">
      <text>
        <r>
          <rPr>
            <sz val="10"/>
            <rFont val="Arial"/>
            <family val="2"/>
          </rPr>
          <t xml:space="preserve">Main rate rose from 19% to 25% on 1 April 2023, so FY23 uses a blended 23.5% (AR24 p152 states 23.5%). Confirm FY21 and FY22 against their notes.</t>
        </r>
      </text>
    </comment>
    <comment ref="A9" authorId="0">
      <text>
        <r>
          <rPr>
            <sz val="10"/>
            <rFont val="Arial"/>
            <family val="2"/>
          </rPr>
          <t xml:space="preserve">Shown in the notes as 'Items not taxable for tax purposes'. In FY25 it ADDS 2.3 to the charge (1.4% of PBT), unlike earlier years when it reduced it. The note does not explain the item.</t>
        </r>
      </text>
    </comment>
    <comment ref="A13" authorId="0">
      <text>
        <r>
          <rPr>
            <sz val="10"/>
            <rFont val="Arial"/>
            <family val="2"/>
          </rPr>
          <t xml:space="preserve">FY21: impairment of non-tax-deductible assets (credit 0.2).</t>
        </r>
      </text>
    </comment>
    <comment ref="A23" authorId="0">
      <text>
        <r>
          <rPr>
            <sz val="10"/>
            <rFont val="Arial"/>
            <family val="2"/>
          </rPr>
          <t xml:space="preserve">Deferred tax is tax charged now but payable later, mainly because capital allowances on new shops and sites are faster than accounting depreciation.</t>
        </r>
      </text>
    </comment>
    <comment ref="A40" authorId="0">
      <text>
        <r>
          <rPr>
            <sz val="10"/>
            <rFont val="Arial"/>
            <family val="2"/>
          </rPr>
          <t xml:space="preserve">When capex runs ahead of depreciation, capital allowances usually run ahead too, so the deferred tax liability grows. Compare this row with the deferred tax charge above.</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23" authorId="0">
      <text>
        <r>
          <rPr>
            <sz val="10"/>
            <rFont val="Arial"/>
            <family val="2"/>
          </rPr>
          <t xml:space="preserve">Differences under £0.15m are treated as 0: the tax notes round each line to £0.1m, so the printed lines do not add exactly.</t>
        </r>
      </text>
    </comment>
  </commentList>
</comments>
</file>

<file path=xl/sharedStrings.xml><?xml version="1.0" encoding="utf-8"?>
<sst xmlns="http://schemas.openxmlformats.org/spreadsheetml/2006/main" count="1183" uniqueCount="697">
  <si>
    <t xml:space="preserve">Greggs plc – forecast summary, FY26–FY28</t>
  </si>
  <si>
    <t xml:space="preserve">Key limitations</t>
  </si>
  <si>
    <t xml:space="preserve">• Operating profit is a margin on revenue. Extra sales carry no operating leverage, and a sharp fall in sales would not squeeze the margin automatically, because fixed costs are not modelled separately.</t>
  </si>
  <si>
    <t xml:space="preserve">• There is no separate impairment line, although recoverability of shop assets (IAS 36) is the auditor's key audit matter. FY22–FY25 margins absorbed £3–7m a year; a downside could bring larger charges than the margin allows for.</t>
  </si>
  <si>
    <t xml:space="preserve">• The simulation, scenario comparison and sensitivities are saved outputs, conditional on the chosen ranges and correlations. They must be re-run after any change to the assumptions (method on the Notes tab).</t>
  </si>
  <si>
    <t xml:space="preserve">1. What Greggs does and why I chose it</t>
  </si>
  <si>
    <t xml:space="preserve">Greggs is the UK's largest food-on-the-go retailer: 2,739 shops at the end of FY25 (2,137 run by Greggs, 602 by franchise partners), revenue of £2.15bn and underlying profit before tax of £171.9m. I chose it because its revenue is driven by things I can see and test (shop openings and like-for-like sales), and its next trading update and annual results come within months, so I can check my forecast against actual results.</t>
  </si>
  <si>
    <t xml:space="preserve">2. Key assumptions (base case) and why</t>
  </si>
  <si>
    <t xml:space="preserve">Driver</t>
  </si>
  <si>
    <t xml:space="preserve">FY26</t>
  </si>
  <si>
    <t xml:space="preserve">FY27</t>
  </si>
  <si>
    <t xml:space="preserve">FY28</t>
  </si>
  <si>
    <t xml:space="preserve">Why</t>
  </si>
  <si>
    <t xml:space="preserve">Net shop openings</t>
  </si>
  <si>
    <t xml:space="preserve">Guidance 100–110, but only 34 opened in H1 2026.</t>
  </si>
  <si>
    <t xml:space="preserve">Company-managed share of openings</t>
  </si>
  <si>
    <t xml:space="preserve">55–66% over FY22–FY25 and rising.</t>
  </si>
  <si>
    <t xml:space="preserve">Like-for-like growth</t>
  </si>
  <si>
    <t xml:space="preserve">H1 2026 2.1%, Q3 c.3.4%; 3% assumed from FY27.</t>
  </si>
  <si>
    <t xml:space="preserve">New-shop sales vs mature shop</t>
  </si>
  <si>
    <t xml:space="preserve">Newer shops are smaller, so sell less than mature ones.</t>
  </si>
  <si>
    <t xml:space="preserve">B2B growth</t>
  </si>
  <si>
    <t xml:space="preserve">Franchise and wholesale growing faster than company shops.</t>
  </si>
  <si>
    <t xml:space="preserve">Underlying operating margin</t>
  </si>
  <si>
    <t xml:space="preserve">H1 2026 costs fell as a share of revenue; I expect that to continue.</t>
  </si>
  <si>
    <t xml:space="preserve">Capex (£m)</t>
  </si>
  <si>
    <t xml:space="preserve">FY26 guidance £180m; down from the FY25 peak of £285m.</t>
  </si>
  <si>
    <t xml:space="preserve">Tax rate</t>
  </si>
  <si>
    <t xml:space="preserve">UK 25% plus about 1 point of non-deductible items.</t>
  </si>
  <si>
    <t xml:space="preserve">Also: £60m restructuring (charged to profit first under IAS 37, paid in cash later); dividend of 69p grown only with 2% inflation.</t>
  </si>
  <si>
    <t xml:space="preserve">£m</t>
  </si>
  <si>
    <t xml:space="preserve">FY25A</t>
  </si>
  <si>
    <t xml:space="preserve">Revenue</t>
  </si>
  <si>
    <t xml:space="preserve">Underlying operating profit</t>
  </si>
  <si>
    <t xml:space="preserve">Underlying profit before tax</t>
  </si>
  <si>
    <t xml:space="preserve">Statutory profit before tax (after restructuring)</t>
  </si>
  <si>
    <t xml:space="preserve">Free cash flow after leases</t>
  </si>
  <si>
    <t xml:space="preserve">Closing cash</t>
  </si>
  <si>
    <t xml:space="preserve">4. Scenario range and Monte Carlo</t>
  </si>
  <si>
    <t xml:space="preserve">Underlying PBT (£m)</t>
  </si>
  <si>
    <t xml:space="preserve">Downside</t>
  </si>
  <si>
    <t xml:space="preserve">Base</t>
  </si>
  <si>
    <t xml:space="preserve">Upside</t>
  </si>
  <si>
    <t xml:space="preserve">Note</t>
  </si>
  <si>
    <t xml:space="preserve">Downside / base / upside: saved at the last run (all scenario drivers at their range limits).</t>
  </si>
  <si>
    <t xml:space="preserve">Lowest closing cash FY26–FY28</t>
  </si>
  <si>
    <t xml:space="preserve">Snapshot check: live less saved, selected case (0 = up to date)</t>
  </si>
  <si>
    <t xml:space="preserve">If not 0, the assumptions have changed since the last run: re-run the simulation scripts.</t>
  </si>
  <si>
    <t xml:space="preserve">Monte Carlo, 10,000 runs (£m, saved)</t>
  </si>
  <si>
    <t xml:space="preserve">P5</t>
  </si>
  <si>
    <t xml:space="preserve">Median</t>
  </si>
  <si>
    <t xml:space="preserve">P95</t>
  </si>
  <si>
    <t xml:space="preserve">FY26 underlying PBT</t>
  </si>
  <si>
    <t xml:space="preserve">FY28 underlying PBT</t>
  </si>
  <si>
    <t xml:space="preserve">Runs where FY26 uPBT beats FY25 (£171.9m)</t>
  </si>
  <si>
    <t xml:space="preserve">Upside and downside set every scenario driver at its range limit at once, so they are stress tests, not likely outcomes. Even in the downside, cash stays above £56m with no new borrowing. The simulation probabilities are conditional on the ranges and correlations chosen on the Drivers tab, not a forecast of certainty.</t>
  </si>
  <si>
    <t xml:space="preserve">5. Sensitivities: effect on underlying PBT (saved, base case)</t>
  </si>
  <si>
    <t xml:space="preserve">Margin matters far more than sales growth: one point of margin moves FY26 profit by about £23m, one point of LFL by under £2m. Part of that is real (one point of LFL is about £19m of revenue, earning the 8.8% margin) and part is the margin method: extra sales carry no operating leverage, so in practice LFL would move profit more. The simulation partly allows for this by linking LFL and margin.</t>
  </si>
  <si>
    <t xml:space="preserve">6. Back-test: FY25 revenue method vs actual</t>
  </si>
  <si>
    <t xml:space="preserve">Value</t>
  </si>
  <si>
    <t xml:space="preserve">Method's FY25 company-managed revenue</t>
  </si>
  <si>
    <t xml:space="preserve">Actual FY25 company-managed revenue</t>
  </si>
  <si>
    <t xml:space="preserve">Variance %</t>
  </si>
  <si>
    <t xml:space="preserve">New-shop % that would explain all of it</t>
  </si>
  <si>
    <t xml:space="preserve">Under the back-test assumptions (Greggs' actual FY25 openings and LFL), my revenue method reproduced FY25 company-managed revenue to within 0.4%. Closing the gap would need new shops to sell 96% of a mature shop rather than my 85%. I kept 85%: many FY25 closures were relocations into bigger units, which the method does not credit. This is one test of the method, not proof of predictive accuracy; the live test against FY26 results is the stronger check.</t>
  </si>
  <si>
    <t xml:space="preserve">7. Other simplifications and where the model would break</t>
  </si>
  <si>
    <t xml:space="preserve">• New shops trade for half their first year; relocations get no uplift.
• Working capital, depreciation and admin costs follow FY22–FY25 ratios; a change of strategy (a large acquisition, or a big shift to franchising) would break them.
• Each Monte Carlo run draws each driver once and holds it for three years, which widens the FY28 range.
• The margin method and the missing impairment line are covered under Key limitations above.</t>
  </si>
  <si>
    <t xml:space="preserve">8. Tax and audit</t>
  </si>
  <si>
    <t xml:space="preserve">The effective tax rate rose from 19.3% in FY21 to 27.0% in FY25, mainly because the UK main rate went from 19% to 25% in April 2023; in FY25 non-taxable items also turned into a £2.3m cost. Tax paid in cash (£31.5m in FY25) is well below the charge (£45.2m) because capital allowances on heavy capex run ahead of depreciation, so the deferred tax liability grew from £2.3m to £93.7m over FY21–FY25. I forecast 26%. The auditor's one key audit matter in FY25 was recoverability of shop assets (IAS 36). My model has no separate impairment line, because FY22–FY25 margins already absorb £3–7m a year, but the risk rises in the downside.</t>
  </si>
  <si>
    <t xml:space="preserve">9. Conclusions (conditional on the simulation inputs)</t>
  </si>
  <si>
    <t xml:space="preserve">Greggs plc – three-statement forecast model, FY26–FY28</t>
  </si>
  <si>
    <t xml:space="preserve">Siddharth Attuluri · Version 1.0 · 11 October 2026 · Sources: Greggs annual reports FY21–FY25, H1 2026 interim results, Q4 2025 trading update</t>
  </si>
  <si>
    <t xml:space="preserve">Purpose</t>
  </si>
  <si>
    <t xml:space="preserve">Driver-based forecast of Greggs plc for FY26–FY28: linked income statement, balance sheet and cash flow, with scenarios, a Monte Carlo simulation, an FY25 back-test of the revenue method, a tax and audit review, and a live test against FY26 results.</t>
  </si>
  <si>
    <t xml:space="preserve">Colour key</t>
  </si>
  <si>
    <t xml:space="preserve">Blue text</t>
  </si>
  <si>
    <t xml:space="preserve">Input typed from a report, or an assumption</t>
  </si>
  <si>
    <t xml:space="preserve">Black text</t>
  </si>
  <si>
    <t xml:space="preserve">Formula on the same sheet</t>
  </si>
  <si>
    <t xml:space="preserve">Green text</t>
  </si>
  <si>
    <t xml:space="preserve">Link to another sheet</t>
  </si>
  <si>
    <t xml:space="preserve">Pale amber fill</t>
  </si>
  <si>
    <t xml:space="preserve">Awaiting actual results (FY26 live test)</t>
  </si>
  <si>
    <t xml:space="preserve">Tabs</t>
  </si>
  <si>
    <t xml:space="preserve">Summary</t>
  </si>
  <si>
    <t xml:space="preserve">One-page summary: assumptions, live outputs, saved scenario and simulation results, limitations, conclusions.</t>
  </si>
  <si>
    <t xml:space="preserve">Historical</t>
  </si>
  <si>
    <t xml:space="preserve">FY21–FY25 statements, revenue split and shop KPIs, each figure referenced to its report page.</t>
  </si>
  <si>
    <t xml:space="preserve">Company-managed shop roll-forward (openings, sales per shop, new-shop ramp-up) and B2B revenue.</t>
  </si>
  <si>
    <t xml:space="preserve">Forecast</t>
  </si>
  <si>
    <t xml:space="preserve">FY26–FY28 income statement, balance sheet and cash flow, with supporting schedules at the bottom.</t>
  </si>
  <si>
    <t xml:space="preserve">Drivers</t>
  </si>
  <si>
    <t xml:space="preserve">Forecast assumptions with Monte Carlo ranges, ratios from FY22–FY25 history, H1 2026 data and guidance.</t>
  </si>
  <si>
    <t xml:space="preserve">Scenarios</t>
  </si>
  <si>
    <t xml:space="preserve">Choose base, upside or downside from the dropdown in B4; inputs are grouped in hidden columns.</t>
  </si>
  <si>
    <t xml:space="preserve">Variance</t>
  </si>
  <si>
    <t xml:space="preserve">Test 1: FY25 back-test of the revenue method (0.4% gap). Test 2: locked FY26 forecast vs actual results.</t>
  </si>
  <si>
    <t xml:space="preserve">Tax &amp; Audit</t>
  </si>
  <si>
    <t xml:space="preserve">Tax rate reconciliation FY21–FY25, current/deferred split, deferred tax roll-forward, key audit matter, model controls.</t>
  </si>
  <si>
    <t xml:space="preserve">Simulation</t>
  </si>
  <si>
    <t xml:space="preserve">Saved Monte Carlo outputs (10,000 runs): percentiles, probabilities, tornado, scenario snapshot, sensitivities.</t>
  </si>
  <si>
    <t xml:space="preserve">Checks</t>
  </si>
  <si>
    <t xml:space="preserve">Historical ties, forecast balance and cash checks, tax checks, saved-output staleness checks, verification log.</t>
  </si>
  <si>
    <t xml:space="preserve">Sources</t>
  </si>
  <si>
    <t xml:space="preserve">AR21</t>
  </si>
  <si>
    <t xml:space="preserve">Greggs Annual Report and Accounts 2021 (52 weeks to 1 Jan 2022)</t>
  </si>
  <si>
    <t xml:space="preserve">AR22</t>
  </si>
  <si>
    <t xml:space="preserve">Annual Report 2022 (52 weeks to 31 Dec 2022): used for FY21 figures</t>
  </si>
  <si>
    <t xml:space="preserve">AR23</t>
  </si>
  <si>
    <t xml:space="preserve">Annual Report and Accounts 2023 (52 weeks to 30 Dec 2023): used for FY22 figures</t>
  </si>
  <si>
    <t xml:space="preserve">AR24</t>
  </si>
  <si>
    <t xml:space="preserve">Annual Report and Accounts 2024 (52 weeks to 28 Dec 2024): used for FY23 figures</t>
  </si>
  <si>
    <t xml:space="preserve">AR25</t>
  </si>
  <si>
    <t xml:space="preserve">Annual Report and Accounts 2025 (52 weeks to 27 Dec 2025): used for FY24 and FY25 figures</t>
  </si>
  <si>
    <t xml:space="preserve">H1 2026</t>
  </si>
  <si>
    <t xml:space="preserve">Interim results presentation, 29 Jul 2026 (26 weeks to 27 Jun 2026)</t>
  </si>
  <si>
    <t xml:space="preserve">Q4 2025</t>
  </si>
  <si>
    <t xml:space="preserve">Q4 2025 trading update, 8 Jan 2026: FY25 franchised shops, openings and closures</t>
  </si>
  <si>
    <t xml:space="preserve">Q3 2026</t>
  </si>
  <si>
    <t xml:space="preserve">Q3 2026 trading update: third-quarter like-for-like sales growth (supports the FY26 LFL assumption)</t>
  </si>
  <si>
    <t xml:space="preserve">Rule</t>
  </si>
  <si>
    <t xml:space="preserve">Each year is taken from the following year's report where possible, so restated comparatives are used. Page numbers are PDF pages (printed page = PDF page minus 2).</t>
  </si>
  <si>
    <t xml:space="preserve">Simplifications and presentation choices</t>
  </si>
  <si>
    <t xml:space="preserve">1.</t>
  </si>
  <si>
    <t xml:space="preserve">Interest received is shown in operating cash flow for all years (Greggs' FY25 policy). FY22 and FY23 operating/investing subtotals therefore differ from those reports by 1.4 and 6.1; net change in cash is unchanged.</t>
  </si>
  <si>
    <t xml:space="preserve">2.</t>
  </si>
  <si>
    <t xml:space="preserve">FY21 and FY22 finance income and expense are split using the finance note; the face of the income statement only showed a net figure.</t>
  </si>
  <si>
    <t xml:space="preserve">3.</t>
  </si>
  <si>
    <t xml:space="preserve">Distribution, admin and other income are statutory totals (including exceptional items). Underlying profit is derived by stripping the exceptional rows.</t>
  </si>
  <si>
    <t xml:space="preserve">4.</t>
  </si>
  <si>
    <t xml:space="preserve">Parent company figures are ignored; all figures are Group.</t>
  </si>
  <si>
    <t xml:space="preserve">5.</t>
  </si>
  <si>
    <t xml:space="preserve">FY21 is distorted by Covid (LFL +52.4% vs 2020), so forecast ratios use FY22–FY25.</t>
  </si>
  <si>
    <t xml:space="preserve">6.</t>
  </si>
  <si>
    <t xml:space="preserve">Revenue: new shops trade half of their first year (Drivers row 36) at 85% of a mature shop's sales; relocations into bigger units get no uplift (the likely cause of the 0.4% back-test gap).</t>
  </si>
  <si>
    <t xml:space="preserve">7.</t>
  </si>
  <si>
    <t xml:space="preserve">Profit is a margin on revenue, so LFL growth carries no operating leverage outside the Monte Carlo (where LFL and margin are correlated at 0.5); each simulation run holds one draw per driver for all three years.</t>
  </si>
  <si>
    <t xml:space="preserve">Data questions and how they were resolved</t>
  </si>
  <si>
    <t xml:space="preserve">Q1</t>
  </si>
  <si>
    <t xml:space="preserve">Resolved: FY25 franchised shops (602), gross openings (207) and closures (86) are taken from the Q4 trading update (8 Jan 2026, RNS 0623O); the annual report does not state them.</t>
  </si>
  <si>
    <t xml:space="preserve">Q2</t>
  </si>
  <si>
    <t xml:space="preserve">Accepted as approximate: the FY21 franchised count (375) was stated as 'currently' in early 2022. It only affects FY21–FY22 history; forecast ratios use FY22–FY25.</t>
  </si>
  <si>
    <t xml:space="preserve">Q3</t>
  </si>
  <si>
    <t xml:space="preserve">Resolved: FY26 is a 52-week year to 26 Dec 2026, so no 53rd-week adjustment is needed.</t>
  </si>
  <si>
    <t xml:space="preserve">Q4</t>
  </si>
  <si>
    <t xml:space="preserve">Live test: the FY26 forecast is locked on the Variance tab (Test 2) for comparison with the January 2027 trading update and the March 2027 results.</t>
  </si>
  <si>
    <t xml:space="preserve">Method note</t>
  </si>
  <si>
    <t xml:space="preserve">Data extraction, Python scripts and the workbook structure were built with AI assistance (Claude) and are verified by the controls on the Checks and Tax &amp; Audit tabs. Assumptions, the revenue build, scenario and simulation ranges, and the conclusions are the author's.</t>
  </si>
  <si>
    <t xml:space="preserve">Assumptions log</t>
  </si>
  <si>
    <t xml:space="preserve">Assumption</t>
  </si>
  <si>
    <t xml:space="preserve">Years</t>
  </si>
  <si>
    <t xml:space="preserve">Reason and source</t>
  </si>
  <si>
    <t xml:space="preserve">Base years for ratios</t>
  </si>
  <si>
    <t xml:space="preserve">FY22–FY25 (costs, working capital); FY24–FY25 + H1 2026 (growth, margin)</t>
  </si>
  <si>
    <t xml:space="preserve">All</t>
  </si>
  <si>
    <t xml:space="preserve">Excludes Covid-affected FY21; recent years weighted for growth and margin</t>
  </si>
  <si>
    <t xml:space="preserve">105 / 110 / 110</t>
  </si>
  <si>
    <t xml:space="preserve">FY26–28</t>
  </si>
  <si>
    <t xml:space="preserve">Guidance 100–110, but only 34 opened in H1 2026; FY26 range 85–112</t>
  </si>
  <si>
    <t xml:space="preserve">63%</t>
  </si>
  <si>
    <t xml:space="preserve">55–66% over FY22–FY25, rising; range 58–68%</t>
  </si>
  <si>
    <t xml:space="preserve">Company-managed LFL growth</t>
  </si>
  <si>
    <t xml:space="preserve">2.6% / 3.0% / 3.0%</t>
  </si>
  <si>
    <t xml:space="preserve">H1 2026 LFL 2.1%, Q3 c.3.4%; 3% assumed from FY27</t>
  </si>
  <si>
    <t xml:space="preserve">85%</t>
  </si>
  <si>
    <t xml:space="preserve">Newer shops are smaller formats and ramp up over time; range 70–95%. Supported by the FY25 back-test</t>
  </si>
  <si>
    <t xml:space="preserve">New shops: share of first year traded</t>
  </si>
  <si>
    <t xml:space="preserve">50%</t>
  </si>
  <si>
    <t xml:space="preserve">Openings spread through the year (mid-year convention)</t>
  </si>
  <si>
    <t xml:space="preserve">B2B revenue growth</t>
  </si>
  <si>
    <t xml:space="preserve">10% / 8% / 8%</t>
  </si>
  <si>
    <t xml:space="preserve">Franchise and wholesale growing faster than company shops</t>
  </si>
  <si>
    <t xml:space="preserve">8.8% / 9.0% / 9.3%</t>
  </si>
  <si>
    <t xml:space="preserve">H1 2026 cost ratios improved; extra Derby site costs in H2; FY28 includes restructuring savings</t>
  </si>
  <si>
    <t xml:space="preserve">Restructuring</t>
  </si>
  <si>
    <t xml:space="preserve">£60m total; P&amp;L 45/10/5; cash 10/35/15</t>
  </si>
  <si>
    <t xml:space="preserve">Provision charged when recognised (IAS 37), cash paid later; range £45–75m</t>
  </si>
  <si>
    <t xml:space="preserve">Capex (PPE + intangibles)</t>
  </si>
  <si>
    <t xml:space="preserve">£180m / £165m / £160m</t>
  </si>
  <si>
    <t xml:space="preserve">FY26 guidance £180m; capital intensity falling after the FY25 peak (£285m)</t>
  </si>
  <si>
    <t xml:space="preserve">Dividend per share</t>
  </si>
  <si>
    <t xml:space="preserve">69p grown at 2% inflation</t>
  </si>
  <si>
    <t xml:space="preserve">Held flat in real terms; paid one year after it is declared</t>
  </si>
  <si>
    <t xml:space="preserve">26%</t>
  </si>
  <si>
    <t xml:space="preserve">UK 25% plus about 1 point of non-deductible items, in line with FY24–FY25 (24.8%, 27.0%)</t>
  </si>
  <si>
    <t xml:space="preserve">Lease interest</t>
  </si>
  <si>
    <t xml:space="preserve">4.8% of opening liability</t>
  </si>
  <si>
    <t xml:space="preserve">H1 2026 net finance cost (£10.5m, new leases incl. Derby) implies about £21m a year</t>
  </si>
  <si>
    <t xml:space="preserve">Impairment</t>
  </si>
  <si>
    <t xml:space="preserve">Within the margin</t>
  </si>
  <si>
    <t xml:space="preserve">FY22–FY25 margins already absorbed £3–7m of impairments a year</t>
  </si>
  <si>
    <t xml:space="preserve">How to refresh the saved outputs (Simulation tab and Summary amber figures)</t>
  </si>
  <si>
    <t xml:space="preserve">1. Change assumptions on the Drivers or Scenarios tab, set Scenarios!B4 to Base and save the workbook.</t>
  </si>
  <si>
    <t xml:space="preserve">2. From the GitHub repository (github.com/SiddharthAttuluri/greggs-forecast-model), install the requirements: pip install -r requirements.txt</t>
  </si>
  <si>
    <t xml:space="preserve">3. Run: python simulation/monte_carlo.py --workbook model/GRG_model_v1.0.xlsx (it stops if B4 is not Base, and prints a control comparing Python with Excel).</t>
  </si>
  <si>
    <t xml:space="preserve">4. Run: python simulation/charts.py, then python simulation/add_to_workbook.py (rewrites the Simulation tab in place, keeping the conclusions).</t>
  </si>
  <si>
    <t xml:space="preserve">5. Open the workbook so Excel recalculates, then confirm the Checks tab rows 26–27 and the Summary snapshot check show 0.</t>
  </si>
  <si>
    <t xml:space="preserve">Greggs plc – historical financials, FY21–FY25</t>
  </si>
  <si>
    <t xml:space="preserve">£m unless stated. Blue = typed from the reports; black = formula. Page numbers are PDF pages of the annual reports (AR21 = Annual Report 2021, etc.).</t>
  </si>
  <si>
    <t xml:space="preserve">All typed figures are verified by script against the cited report pages (352 of 352 testable figures found) and 13 reconciliation checks tie to the reported totals; see the Checks tab.</t>
  </si>
  <si>
    <t xml:space="preserve">Source (PDF page)</t>
  </si>
  <si>
    <t xml:space="preserve">FY21</t>
  </si>
  <si>
    <t xml:space="preserve">FY22</t>
  </si>
  <si>
    <t xml:space="preserve">FY23</t>
  </si>
  <si>
    <t xml:space="preserve">FY24</t>
  </si>
  <si>
    <t xml:space="preserve">FY25</t>
  </si>
  <si>
    <t xml:space="preserve">Period end (weeks)</t>
  </si>
  <si>
    <t xml:space="preserve">1 Jan 2022 (52)</t>
  </si>
  <si>
    <t xml:space="preserve">31 Dec 2022 (52)</t>
  </si>
  <si>
    <t xml:space="preserve">30 Dec 2023 (52)</t>
  </si>
  <si>
    <t xml:space="preserve">28 Dec 2024 (52)</t>
  </si>
  <si>
    <t xml:space="preserve">27 Dec 2025 (52)</t>
  </si>
  <si>
    <t xml:space="preserve">INCOME STATEMENT (statutory, including exceptional items)</t>
  </si>
  <si>
    <t xml:space="preserve">IS: FY24–25 AR25 p130; FY23 AR24 p130; FY22 AR23 p121; FY21 AR22 p110</t>
  </si>
  <si>
    <t xml:space="preserve">Cost of sales</t>
  </si>
  <si>
    <t xml:space="preserve">Gross profit</t>
  </si>
  <si>
    <t xml:space="preserve">Formula</t>
  </si>
  <si>
    <t xml:space="preserve">Distribution and selling costs</t>
  </si>
  <si>
    <t xml:space="preserve">Administrative expenses</t>
  </si>
  <si>
    <t xml:space="preserve">Other income (exceptional)</t>
  </si>
  <si>
    <t xml:space="preserve">Operating profit</t>
  </si>
  <si>
    <t xml:space="preserve">Finance income</t>
  </si>
  <si>
    <t xml:space="preserve">FY21 AR22 p131 (note 5); FY22 AR23 p142 (note 6); FY23–25 IS</t>
  </si>
  <si>
    <t xml:space="preserve">Finance expense</t>
  </si>
  <si>
    <t xml:space="preserve">Profit before tax</t>
  </si>
  <si>
    <t xml:space="preserve">Income tax</t>
  </si>
  <si>
    <t xml:space="preserve">Profit for the year</t>
  </si>
  <si>
    <t xml:space="preserve">Exceptional items and underlying profit</t>
  </si>
  <si>
    <t xml:space="preserve">Exceptional items within operating profit</t>
  </si>
  <si>
    <t xml:space="preserve">IS exceptional column</t>
  </si>
  <si>
    <t xml:space="preserve">Exceptional items within finance expense</t>
  </si>
  <si>
    <t xml:space="preserve">AR25 p130</t>
  </si>
  <si>
    <t xml:space="preserve">Tax on exceptional items</t>
  </si>
  <si>
    <t xml:space="preserve">Effective tax rate (statutory)</t>
  </si>
  <si>
    <t xml:space="preserve">Reported totals (typed from the reports, for the checks)</t>
  </si>
  <si>
    <t xml:space="preserve">Reported operating profit</t>
  </si>
  <si>
    <t xml:space="preserve">Reported profit before tax</t>
  </si>
  <si>
    <t xml:space="preserve">Reported profit for the year</t>
  </si>
  <si>
    <t xml:space="preserve">Reported underlying PBT</t>
  </si>
  <si>
    <t xml:space="preserve">AR25 p176 (ten-year history)</t>
  </si>
  <si>
    <t xml:space="preserve">REVENUE SPLIT AND SHOP KPIs</t>
  </si>
  <si>
    <t xml:space="preserve">Revenue: company-managed shops</t>
  </si>
  <si>
    <t xml:space="preserve">FY21 AR22 p126; FY22 AR23 p137; FY23 AR24 p175; FY24–25 AR25 p177</t>
  </si>
  <si>
    <t xml:space="preserve">Revenue: business to business (franchise, wholesale, grocery)</t>
  </si>
  <si>
    <t xml:space="preserve">Check: split less revenue (should be 0)</t>
  </si>
  <si>
    <t xml:space="preserve">Shops at start of year</t>
  </si>
  <si>
    <t xml:space="preserve">FY20 closing: AR25 p176</t>
  </si>
  <si>
    <t xml:space="preserve">Shops at year end (total)</t>
  </si>
  <si>
    <t xml:space="preserve">of which franchised</t>
  </si>
  <si>
    <t xml:space="preserve">FY21 AR21 p18; FY22 AR22 p15; FY23 AR23 p17; FY24 AR24 p33; FY25 Q4 trading update 8 Jan 2026</t>
  </si>
  <si>
    <t xml:space="preserve">of which company-managed</t>
  </si>
  <si>
    <t xml:space="preserve">Gross openings</t>
  </si>
  <si>
    <t xml:space="preserve">FY21 AR21 p18; FY22 AR22 p15; FY23 AR23 p17; FY24 AR24 p22; FY25 Q4 trading update 8 Jan 2026</t>
  </si>
  <si>
    <t xml:space="preserve">Closures (incl. relocations)</t>
  </si>
  <si>
    <t xml:space="preserve">FY21 AR21 p18; FY22 AR22 p15; FY23 derived; FY24 AR24 p22; FY25 Q4 trading update</t>
  </si>
  <si>
    <t xml:space="preserve">Net openings</t>
  </si>
  <si>
    <t xml:space="preserve">Check: openings + closures less net (should be 0)</t>
  </si>
  <si>
    <t xml:space="preserve">Company-managed like-for-like sales growth</t>
  </si>
  <si>
    <t xml:space="preserve">Franchise like-for-like system sales growth</t>
  </si>
  <si>
    <t xml:space="preserve">FY23 AR24 p175; FY24–25 AR25 p177</t>
  </si>
  <si>
    <t xml:space="preserve">Company-managed revenue per average shop (£m)</t>
  </si>
  <si>
    <t xml:space="preserve">BALANCE SHEET (group)</t>
  </si>
  <si>
    <t xml:space="preserve">Intangible assets</t>
  </si>
  <si>
    <t xml:space="preserve">BS: FY24–25 AR25 p131; FY23 AR24 p131; FY22 AR23 p122; FY21 AR22 p111</t>
  </si>
  <si>
    <t xml:space="preserve">Property, plant and equipment</t>
  </si>
  <si>
    <t xml:space="preserve">Right-of-use assets</t>
  </si>
  <si>
    <t xml:space="preserve">Defined benefit pension asset</t>
  </si>
  <si>
    <t xml:space="preserve">Non-current assets</t>
  </si>
  <si>
    <t xml:space="preserve">Inventories</t>
  </si>
  <si>
    <t xml:space="preserve">Trade and other receivables</t>
  </si>
  <si>
    <t xml:space="preserve">Assets held for sale</t>
  </si>
  <si>
    <t xml:space="preserve">Current tax assets</t>
  </si>
  <si>
    <t xml:space="preserve">Cash and cash equivalents</t>
  </si>
  <si>
    <t xml:space="preserve">Current assets</t>
  </si>
  <si>
    <t xml:space="preserve">Total assets</t>
  </si>
  <si>
    <t xml:space="preserve">Trade and other payables</t>
  </si>
  <si>
    <t xml:space="preserve">Current tax liabilities</t>
  </si>
  <si>
    <t xml:space="preserve">Lease liabilities (current)</t>
  </si>
  <si>
    <t xml:space="preserve">Provisions (current)</t>
  </si>
  <si>
    <t xml:space="preserve">Current liabilities</t>
  </si>
  <si>
    <t xml:space="preserve">Borrowings</t>
  </si>
  <si>
    <t xml:space="preserve">Other payables (non-current)</t>
  </si>
  <si>
    <t xml:space="preserve">Lease liabilities (non-current)</t>
  </si>
  <si>
    <t xml:space="preserve">Deferred tax liability</t>
  </si>
  <si>
    <t xml:space="preserve">Long-term provisions</t>
  </si>
  <si>
    <t xml:space="preserve">Defined benefit pension liability</t>
  </si>
  <si>
    <t xml:space="preserve">Non-current liabilities</t>
  </si>
  <si>
    <t xml:space="preserve">Total liabilities</t>
  </si>
  <si>
    <t xml:space="preserve">Net assets</t>
  </si>
  <si>
    <t xml:space="preserve">Issued capital</t>
  </si>
  <si>
    <t xml:space="preserve">Share premium</t>
  </si>
  <si>
    <t xml:space="preserve">Capital redemption reserve</t>
  </si>
  <si>
    <t xml:space="preserve">Retained earnings</t>
  </si>
  <si>
    <t xml:space="preserve">Total equity</t>
  </si>
  <si>
    <t xml:space="preserve">Reported total assets</t>
  </si>
  <si>
    <t xml:space="preserve">Reported net assets</t>
  </si>
  <si>
    <t xml:space="preserve">Memo: net debt</t>
  </si>
  <si>
    <t xml:space="preserve">Net cash / (debt) excluding leases</t>
  </si>
  <si>
    <t xml:space="preserve">Total lease liabilities</t>
  </si>
  <si>
    <t xml:space="preserve">Net cash / (debt) including leases</t>
  </si>
  <si>
    <t xml:space="preserve">CASH FLOW STATEMENT (interest received shown in operating activities, as in FY25)</t>
  </si>
  <si>
    <t xml:space="preserve">Cash generated from operations</t>
  </si>
  <si>
    <t xml:space="preserve">CF: FY24–25 AR25 p134; FY23 AR24 p134; FY22 AR23 p125; FY21 AR22 p114</t>
  </si>
  <si>
    <t xml:space="preserve">Income tax paid</t>
  </si>
  <si>
    <t xml:space="preserve">Interest received</t>
  </si>
  <si>
    <t xml:space="preserve">Interest paid on lease liabilities</t>
  </si>
  <si>
    <t xml:space="preserve">Interest paid on borrowings and other charges</t>
  </si>
  <si>
    <t xml:space="preserve">Net cash from operating activities</t>
  </si>
  <si>
    <t xml:space="preserve">Purchase of property, plant and equipment</t>
  </si>
  <si>
    <t xml:space="preserve">Purchase of intangible assets</t>
  </si>
  <si>
    <t xml:space="preserve">Proceeds from sale of PPE</t>
  </si>
  <si>
    <t xml:space="preserve">Proceeds from sale of assets held for sale</t>
  </si>
  <si>
    <t xml:space="preserve">Net cash from investing activities</t>
  </si>
  <si>
    <t xml:space="preserve">Proceeds from borrowing</t>
  </si>
  <si>
    <t xml:space="preserve">Repayment of borrowing</t>
  </si>
  <si>
    <t xml:space="preserve">Proceeds from issue of share capital</t>
  </si>
  <si>
    <t xml:space="preserve">Sale of own shares</t>
  </si>
  <si>
    <t xml:space="preserve">Purchase of own shares</t>
  </si>
  <si>
    <t xml:space="preserve">Dividends paid</t>
  </si>
  <si>
    <t xml:space="preserve">Repayment of lease principal</t>
  </si>
  <si>
    <t xml:space="preserve">Net cash from financing activities</t>
  </si>
  <si>
    <t xml:space="preserve">Net change in cash</t>
  </si>
  <si>
    <t xml:space="preserve">Cash at start of year</t>
  </si>
  <si>
    <t xml:space="preserve">AR22 p114</t>
  </si>
  <si>
    <t xml:space="preserve">Cash at end of year</t>
  </si>
  <si>
    <t xml:space="preserve">Reported net change in cash</t>
  </si>
  <si>
    <t xml:space="preserve">Memo: free cash flow and capex</t>
  </si>
  <si>
    <t xml:space="preserve">Total capex (PPE + intangibles)</t>
  </si>
  <si>
    <t xml:space="preserve">Cash generated from operations (reconciliation note)</t>
  </si>
  <si>
    <t xml:space="preserve">CF note: FY24–25 AR25 p135; FY23 AR24 p135; FY22 AR23 p126; FY21 AR22 p115</t>
  </si>
  <si>
    <t xml:space="preserve">Amortisation</t>
  </si>
  <si>
    <t xml:space="preserve">Depreciation: property, plant and equipment</t>
  </si>
  <si>
    <t xml:space="preserve">Depreciation: right-of-use assets</t>
  </si>
  <si>
    <t xml:space="preserve">Impairment / (reversal): PPE</t>
  </si>
  <si>
    <t xml:space="preserve">Impairment / (reversal): right-of-use assets</t>
  </si>
  <si>
    <t xml:space="preserve">Loss / (profit) on sale of PPE</t>
  </si>
  <si>
    <t xml:space="preserve">Release of government grants</t>
  </si>
  <si>
    <t xml:space="preserve">Share-based payment expense</t>
  </si>
  <si>
    <t xml:space="preserve">Income tax expense</t>
  </si>
  <si>
    <t xml:space="preserve">(Increase) in inventories</t>
  </si>
  <si>
    <t xml:space="preserve">(Increase) / decrease in receivables</t>
  </si>
  <si>
    <t xml:space="preserve">Increase in payables</t>
  </si>
  <si>
    <t xml:space="preserve">Increase / (decrease) in provisions</t>
  </si>
  <si>
    <t xml:space="preserve">Pension contributions above charge</t>
  </si>
  <si>
    <t xml:space="preserve">Cash generated from operations (from note)</t>
  </si>
  <si>
    <t xml:space="preserve">Memo: total depreciation and amortisation</t>
  </si>
  <si>
    <t xml:space="preserve">Revenue build – company-managed shops and B2B (FY26–FY28)</t>
  </si>
  <si>
    <t xml:space="preserve">Company-managed revenue is built from a shop roll-forward and sales per shop; B2B revenue grows at a set rate. FY25 (green) is the starting point; the Forecast tab reads rows 17 and 18.</t>
  </si>
  <si>
    <t xml:space="preserve">Line</t>
  </si>
  <si>
    <t xml:space="preserve">Method</t>
  </si>
  <si>
    <t xml:space="preserve">Company-managed shop roll-forward</t>
  </si>
  <si>
    <t xml:space="preserve">Company-managed shops at start of year</t>
  </si>
  <si>
    <t xml:space="preserve">Last year's closing shops</t>
  </si>
  <si>
    <t xml:space="preserve">Company-managed net openings</t>
  </si>
  <si>
    <t xml:space="preserve">Net openings × company-managed share (Drivers)</t>
  </si>
  <si>
    <t xml:space="preserve">Company-managed shops at end of year</t>
  </si>
  <si>
    <t xml:space="preserve">Start + net openings</t>
  </si>
  <si>
    <t xml:space="preserve">Sales per shop</t>
  </si>
  <si>
    <t xml:space="preserve">Link to Drivers</t>
  </si>
  <si>
    <t xml:space="preserve">Sales per mature shop (£m)</t>
  </si>
  <si>
    <t xml:space="preserve">Last year × (1 + LFL)</t>
  </si>
  <si>
    <t xml:space="preserve">Company-managed revenue</t>
  </si>
  <si>
    <t xml:space="preserve">Existing estate</t>
  </si>
  <si>
    <t xml:space="preserve">Last year's company-managed revenue × (1 + LFL)</t>
  </si>
  <si>
    <t xml:space="preserve">Full-year effect of last year's openings</t>
  </si>
  <si>
    <t xml:space="preserve">Last year's net openings × (1 − first-year share) × sales per shop × new-shop %</t>
  </si>
  <si>
    <t xml:space="preserve">This year's openings (half a year)</t>
  </si>
  <si>
    <t xml:space="preserve">This year's net openings × first-year share × sales per shop × new-shop %</t>
  </si>
  <si>
    <t xml:space="preserve">Existing + full-year effect + this year's openings</t>
  </si>
  <si>
    <t xml:space="preserve">B2B revenue</t>
  </si>
  <si>
    <t xml:space="preserve">Last year × (1 + B2B growth from Drivers)</t>
  </si>
  <si>
    <t xml:space="preserve">Total revenue</t>
  </si>
  <si>
    <t xml:space="preserve">Company-managed + B2B</t>
  </si>
  <si>
    <t xml:space="preserve">Revenue growth</t>
  </si>
  <si>
    <t xml:space="preserve">This year ÷ last year − 1</t>
  </si>
  <si>
    <t xml:space="preserve">Checks and sense checks</t>
  </si>
  <si>
    <t xml:space="preserve">Check: shops at end vs Forecast tab (should be 0)</t>
  </si>
  <si>
    <t xml:space="preserve">Sense checks for FY26</t>
  </si>
  <si>
    <t xml:space="preserve">H1 2026 sales growth (26 weeks)</t>
  </si>
  <si>
    <t xml:space="preserve">H1 2026 presentation, slide 6</t>
  </si>
  <si>
    <t xml:space="preserve">Edison FY26 revenue estimate, May 2026 (£m)</t>
  </si>
  <si>
    <t xml:space="preserve">Third-party estimate: use to sense-check, not as an input</t>
  </si>
  <si>
    <t xml:space="preserve">FY26 revenue vs Edison estimate</t>
  </si>
  <si>
    <t xml:space="preserve">Greggs plc – forecast, FY26–FY28</t>
  </si>
  <si>
    <t xml:space="preserve">FY21–FY25 link to Historical (green). FY26–FY28 are formulas driven by the Drivers and Revenue tabs; supporting schedules are at the bottom of this tab.</t>
  </si>
  <si>
    <t xml:space="preserve">FY26 is a 52-week year to 26 Dec 2026. Revenue comes from the Revenue tab.</t>
  </si>
  <si>
    <t xml:space="preserve">Sum of company-managed and B2B</t>
  </si>
  <si>
    <t xml:space="preserve">PBT x tax rate</t>
  </si>
  <si>
    <t xml:space="preserve">Restructuring cost (c.£60m cash, FY26–28) on its own line</t>
  </si>
  <si>
    <t xml:space="preserve">Revenue x underlying operating margin</t>
  </si>
  <si>
    <t xml:space="preserve">Shop roll-forward x sales per shop, grown by LFL</t>
  </si>
  <si>
    <t xml:space="preserve">Growth rate on franchise and wholesale</t>
  </si>
  <si>
    <t xml:space="preserve">Opening shops + net openings</t>
  </si>
  <si>
    <t xml:space="preserve">Opening + capex - depreciation (schedule)</t>
  </si>
  <si>
    <t xml:space="preserve">Grows with shop numbers (schedule)</t>
  </si>
  <si>
    <t xml:space="preserve">Days of cost of sales</t>
  </si>
  <si>
    <t xml:space="preserve">Days of revenue</t>
  </si>
  <si>
    <t xml:space="preserve">From cash flow, never typed</t>
  </si>
  <si>
    <t xml:space="preserve">Lease schedule</t>
  </si>
  <si>
    <t xml:space="preserve">Opening + profit - dividends - buybacks</t>
  </si>
  <si>
    <t xml:space="preserve">Built from IS and balance sheet movements</t>
  </si>
  <si>
    <t xml:space="preserve">Last year's declared dividend per share × shares (schedule)</t>
  </si>
  <si>
    <t xml:space="preserve">SUPPORTING SCHEDULES (£m, positive numbers)</t>
  </si>
  <si>
    <t xml:space="preserve">Intangible capex</t>
  </si>
  <si>
    <t xml:space="preserve">PPE capex</t>
  </si>
  <si>
    <t xml:space="preserve">PPE depreciation</t>
  </si>
  <si>
    <t xml:space="preserve">Total lease liability</t>
  </si>
  <si>
    <t xml:space="preserve">Grows with company-managed shops</t>
  </si>
  <si>
    <t xml:space="preserve">Right-of-use depreciation</t>
  </si>
  <si>
    <t xml:space="preserve">New leases (non-cash additions)</t>
  </si>
  <si>
    <t xml:space="preserve">Balancing: ROU movement + ROU depreciation</t>
  </si>
  <si>
    <t xml:space="preserve">Lease principal repaid</t>
  </si>
  <si>
    <t xml:space="preserve">Balancing: opening liability + new leases − closing</t>
  </si>
  <si>
    <t xml:space="preserve">Interest on borrowings</t>
  </si>
  <si>
    <t xml:space="preserve">Interest on cash</t>
  </si>
  <si>
    <t xml:space="preserve">Underlying administrative costs</t>
  </si>
  <si>
    <t xml:space="preserve">Restructuring P&amp;L charge</t>
  </si>
  <si>
    <t xml:space="preserve">Restructuring cash spend</t>
  </si>
  <si>
    <t xml:space="preserve">Deferred tax liability increase</t>
  </si>
  <si>
    <t xml:space="preserve">Drivers % × (capex − PPE depreciation − amortisation)</t>
  </si>
  <si>
    <t xml:space="preserve">Dividend per share declared (£)</t>
  </si>
  <si>
    <t xml:space="preserve">FY25: 69p declared (19p interim + 50p final)</t>
  </si>
  <si>
    <t xml:space="preserve">Dividends paid in cash</t>
  </si>
  <si>
    <t xml:space="preserve">Last year's declared DPS × shares (final paid the following year)</t>
  </si>
  <si>
    <t xml:space="preserve">Drivers – forecast assumptions</t>
  </si>
  <si>
    <t xml:space="preserve">Blue = assumption. Base case in the FY26–FY28 columns; the min / max columns are the Monte Carlo ranges (the base value is the most likely point). The basis for each assumption is in column L and in the assumptions log on the Notes tab.</t>
  </si>
  <si>
    <t xml:space="preserve">Rows 6 and 8–11 (green) are read from the Scenarios tab for the selected scenario.</t>
  </si>
  <si>
    <t xml:space="preserve">Unit</t>
  </si>
  <si>
    <t xml:space="preserve">FY26 min</t>
  </si>
  <si>
    <t xml:space="preserve">FY26 max</t>
  </si>
  <si>
    <t xml:space="preserve">FY27 min</t>
  </si>
  <si>
    <t xml:space="preserve">FY27 max</t>
  </si>
  <si>
    <t xml:space="preserve">FY28 min</t>
  </si>
  <si>
    <t xml:space="preserve">FY28 max</t>
  </si>
  <si>
    <t xml:space="preserve">Basis</t>
  </si>
  <si>
    <t xml:space="preserve">Key assumptions</t>
  </si>
  <si>
    <t xml:space="preserve">shops</t>
  </si>
  <si>
    <t xml:space="preserve">Guidance 100–110; H1 2026 only 34, so more downside</t>
  </si>
  <si>
    <t xml:space="preserve">Company-managed share of net openings</t>
  </si>
  <si>
    <t xml:space="preserve">%</t>
  </si>
  <si>
    <t xml:space="preserve">Rising: 55%, 57%, 60%, 66% (FY22–FY25)</t>
  </si>
  <si>
    <t xml:space="preserve">Company-managed like-for-like growth</t>
  </si>
  <si>
    <t xml:space="preserve">H1 2026 2.1%, Q3 c.3.4%</t>
  </si>
  <si>
    <t xml:space="preserve">New-shop sales vs average mature shop</t>
  </si>
  <si>
    <t xml:space="preserve">Newer sites are smaller formats and ramp up over time</t>
  </si>
  <si>
    <t xml:space="preserve">Slowing from 24% to 9%; Tesco Express extension</t>
  </si>
  <si>
    <t xml:space="preserve">H1 cost ratios improved (partly pay-award timing); H2 Derby +c.£10m; FY28 includes savings</t>
  </si>
  <si>
    <t xml:space="preserve">Restructuring total cost</t>
  </si>
  <si>
    <t xml:space="preserve">Proposal: c.£60m cash cost (Monte Carlo scales the phasing below)</t>
  </si>
  <si>
    <t xml:space="preserve">Restructuring P&amp;L charge phasing (IAS 37, option A)</t>
  </si>
  <si>
    <t xml:space="preserve">% of total</t>
  </si>
  <si>
    <t xml:space="preserve">£45m / £10m / £5m at £60m total</t>
  </si>
  <si>
    <t xml:space="preserve">Restructuring cash phasing</t>
  </si>
  <si>
    <t xml:space="preserve">£10m / £35m / £15m at £60m total</t>
  </si>
  <si>
    <t xml:space="preserve">FY26 guidance £180m; capital intensity falling</t>
  </si>
  <si>
    <t xml:space="preserve">Inflation (dividend uplift)</t>
  </si>
  <si>
    <t xml:space="preserve">Greggs: c.2% LFL cost inflation</t>
  </si>
  <si>
    <t xml:space="preserve">Dividend per share declared</t>
  </si>
  <si>
    <t xml:space="preserve">£</t>
  </si>
  <si>
    <t xml:space="preserve">69p held in real terms</t>
  </si>
  <si>
    <t xml:space="preserve">Tax rate (on profit before tax)</t>
  </si>
  <si>
    <t xml:space="preserve">Underlying rate 25.7–26.8% vs 25% statutory</t>
  </si>
  <si>
    <t xml:space="preserve">Other ratios (FY22–FY25 history)</t>
  </si>
  <si>
    <t xml:space="preserve">Gross margin</t>
  </si>
  <si>
    <t xml:space="preserve">FY22–FY25 average 61.5%</t>
  </si>
  <si>
    <t xml:space="preserve">Administrative costs (underlying) % of revenue</t>
  </si>
  <si>
    <t xml:space="preserve">FY22–FY25 average 4.7%</t>
  </si>
  <si>
    <t xml:space="preserve">Inventory days (of cost of sales)</t>
  </si>
  <si>
    <t xml:space="preserve">days</t>
  </si>
  <si>
    <t xml:space="preserve">FY22–FY25 average</t>
  </si>
  <si>
    <t xml:space="preserve">Receivable days (of revenue)</t>
  </si>
  <si>
    <t xml:space="preserve">Payable days (of revenue)</t>
  </si>
  <si>
    <t xml:space="preserve">PPE depreciation % of opening PPE</t>
  </si>
  <si>
    <t xml:space="preserve">Fell from 17.1% to 13.6% as long-life sites added</t>
  </si>
  <si>
    <t xml:space="preserve">Intangible capex % of total capex</t>
  </si>
  <si>
    <t xml:space="preserve">FY25: 7.7%</t>
  </si>
  <si>
    <t xml:space="preserve">Amortisation % of opening intangibles</t>
  </si>
  <si>
    <t xml:space="preserve">FY25: 18.9%</t>
  </si>
  <si>
    <t xml:space="preserve">Right-of-use depreciation % of opening ROU assets</t>
  </si>
  <si>
    <t xml:space="preserve">FY25: 16.8%</t>
  </si>
  <si>
    <t xml:space="preserve">Lease interest % of opening lease liability</t>
  </si>
  <si>
    <t xml:space="preserve">Raised from 3.9%: H1 2026 net finance cost £10.5m (new leases incl. Derby) implies c.£21m a year</t>
  </si>
  <si>
    <t xml:space="preserve">Interest on cash % of opening cash</t>
  </si>
  <si>
    <t xml:space="preserve">FY24 4.1%, FY25 1.4% (lower balances)</t>
  </si>
  <si>
    <t xml:space="preserve">Interest on borrowings %</t>
  </si>
  <si>
    <t xml:space="preserve">FY25: c.5% on average drawn</t>
  </si>
  <si>
    <t xml:space="preserve">Deferred tax build-up % of (capex − depreciation and amortisation)</t>
  </si>
  <si>
    <t xml:space="preserve">FY24–FY25: c.11%</t>
  </si>
  <si>
    <t xml:space="preserve">Shares in issue (m)</t>
  </si>
  <si>
    <t xml:space="preserve">m</t>
  </si>
  <si>
    <t xml:space="preserve">Derived: FY25 dividends paid £70.3m ÷ 69p</t>
  </si>
  <si>
    <t xml:space="preserve">Current share of lease liabilities</t>
  </si>
  <si>
    <t xml:space="preserve">FY25: 62.5 / 449.8</t>
  </si>
  <si>
    <t xml:space="preserve">New shops: share of first year traded (average opening mid-year)</t>
  </si>
  <si>
    <t xml:space="preserve">Openings are spread through the year, so a new shop trades about half its first year; the rest follows next year</t>
  </si>
  <si>
    <t xml:space="preserve">Monte Carlo driver links</t>
  </si>
  <si>
    <t xml:space="preserve">Correlation: LFL growth and operating margin</t>
  </si>
  <si>
    <t xml:space="preserve">corr</t>
  </si>
  <si>
    <t xml:space="preserve">Moderate</t>
  </si>
  <si>
    <t xml:space="preserve">Correlation: LFL growth and B2B growth</t>
  </si>
  <si>
    <t xml:space="preserve">Weak</t>
  </si>
  <si>
    <t xml:space="preserve">Historical reference (calculated from the Historical tab)</t>
  </si>
  <si>
    <t xml:space="preserve">Ratio</t>
  </si>
  <si>
    <t xml:space="preserve">Inventory days</t>
  </si>
  <si>
    <t xml:space="preserve">Receivable days</t>
  </si>
  <si>
    <t xml:space="preserve">PPE depreciation % opening PPE</t>
  </si>
  <si>
    <t xml:space="preserve">Capex £m</t>
  </si>
  <si>
    <t xml:space="preserve">Latest company guidance and H1 2026 data</t>
  </si>
  <si>
    <t xml:space="preserve">H1 2026 sales (£m), 26 weeks to 27 Jun 2026 (H1 2025: 1,027.7)</t>
  </si>
  <si>
    <t xml:space="preserve">H1 2026 presentation, slides 3 and 6</t>
  </si>
  <si>
    <t xml:space="preserve">H1 2026 operating profit (£m) (H1 2025: 70.4)</t>
  </si>
  <si>
    <t xml:space="preserve">slide 6</t>
  </si>
  <si>
    <t xml:space="preserve">H1 2026 company-managed LFL growth</t>
  </si>
  <si>
    <t xml:space="preserve">slide 3</t>
  </si>
  <si>
    <t xml:space="preserve">Shops trading at 27 Jun 2026</t>
  </si>
  <si>
    <t xml:space="preserve">slide 18</t>
  </si>
  <si>
    <t xml:space="preserve">FY26 net openings guidance</t>
  </si>
  <si>
    <t xml:space="preserve">100–110</t>
  </si>
  <si>
    <t xml:space="preserve">FY26 capex guidance (£m)</t>
  </si>
  <si>
    <t xml:space="preserve">slide 11</t>
  </si>
  <si>
    <t xml:space="preserve">FY26 LFL cost inflation expectation</t>
  </si>
  <si>
    <t xml:space="preserve">slide 10</t>
  </si>
  <si>
    <t xml:space="preserve">H2 2026 extra Derby site costs (£m)</t>
  </si>
  <si>
    <t xml:space="preserve">slide 9</t>
  </si>
  <si>
    <t xml:space="preserve">Choose the scenario in B4. The right-hand column shows the selected values and feeds the Drivers tab, so every statement updates. Base, upside and downside inputs are grouped in hidden columns C–E (click + above column F). Upside and downside set every driver at its Monte Carlo max / min at once: a stress test, not a likely outcome.</t>
  </si>
  <si>
    <t xml:space="preserve">Scenario (select)</t>
  </si>
  <si>
    <t xml:space="preserve">Year</t>
  </si>
  <si>
    <t xml:space="preserve">Variance analysis</t>
  </si>
  <si>
    <t xml:space="preserve">Two tests. Test 1 checks the revenue method on FY25 using Greggs' actual drivers. Test 2 checks the locked FY26 forecast against Greggs' own figures in January and March 2027.</t>
  </si>
  <si>
    <t xml:space="preserve">Test 1: FY25 back-test of the revenue method (FY24 base + Greggs' actual FY25 drivers)</t>
  </si>
  <si>
    <t xml:space="preserve">Uses Greggs' actual FY25 like-for-like growth and openings, so it tests the method rather than the assumptions. Profit and cash lines are not back-tested: the model starts from FY25 actuals, so Test 2 covers them.</t>
  </si>
  <si>
    <t xml:space="preserve">FY24 company-managed revenue</t>
  </si>
  <si>
    <t xml:space="preserve">FY25 like-for-like growth (actual)</t>
  </si>
  <si>
    <t xml:space="preserve">FY24 sales per average shop (£m)</t>
  </si>
  <si>
    <t xml:space="preserve">FY25 sales per mature shop (£m)</t>
  </si>
  <si>
    <t xml:space="preserve">FY24 company-managed net openings</t>
  </si>
  <si>
    <t xml:space="preserve">FY25 company-managed net openings (actual)</t>
  </si>
  <si>
    <t xml:space="preserve">New-shop sales vs mature shop (assumption)</t>
  </si>
  <si>
    <t xml:space="preserve">Full-year effect of FY24 openings</t>
  </si>
  <si>
    <t xml:space="preserve">FY25 openings (half a year)</t>
  </si>
  <si>
    <t xml:space="preserve">Variance (actual − method)</t>
  </si>
  <si>
    <t xml:space="preserve">Explanation</t>
  </si>
  <si>
    <t xml:space="preserve">Fed actual FY25 openings and LFL, the method undershot company-managed revenue by £8.4m (0.4%). The likely cause is the 50 relocations into bigger units, which add sales outside LFL that the method does not capture. New-shop sales stay at 85% because new openings are mostly smaller formats.</t>
  </si>
  <si>
    <t xml:space="preserve">Test 2: FY26 live test (lock the forecast before the January 2027 trading update)</t>
  </si>
  <si>
    <t xml:space="preserve">Locked FY26 forecast (11 Oct 2026)</t>
  </si>
  <si>
    <t xml:space="preserve">Actual (Jan trading update / March results)</t>
  </si>
  <si>
    <t xml:space="preserve">Total sales (£m)</t>
  </si>
  <si>
    <t xml:space="preserve">Shops at year end</t>
  </si>
  <si>
    <t xml:space="preserve">Underlying PBT (£m, March)</t>
  </si>
  <si>
    <t xml:space="preserve">Locked values are the base case; they are typed, not linked, so later changes to the model cannot move them.</t>
  </si>
  <si>
    <t xml:space="preserve">Tax &amp; Audit review</t>
  </si>
  <si>
    <t xml:space="preserve">Tax rate reconciliation, current/deferred split and deferred tax roll-forward from the tax notes (FY21–FY25); the FY25 key audit matter mapped to the model; model controls. Charges are negative, as on the Historical sheet. Blue = typed from the reports; green = linked from Historical.</t>
  </si>
  <si>
    <t xml:space="preserve">A. Tax rate reconciliation: why the effective rate differs from the UK rate</t>
  </si>
  <si>
    <t xml:space="preserve">Source / note</t>
  </si>
  <si>
    <t xml:space="preserve">UK statutory corporation tax rate</t>
  </si>
  <si>
    <t xml:space="preserve">Tax note (FY23 note: 23.5%)</t>
  </si>
  <si>
    <t xml:space="preserve">Tax at the statutory rate</t>
  </si>
  <si>
    <t xml:space="preserve">  Items not taxable</t>
  </si>
  <si>
    <t xml:space="preserve">Tax note: FY24–25 AR25 p153; FY23 AR24 p152; FY22 AR23 p143; FY21 AR22 p132</t>
  </si>
  <si>
    <t xml:space="preserve">  Non-tax-deductible depreciation</t>
  </si>
  <si>
    <t xml:space="preserve">  Impact of change in deferred tax rate</t>
  </si>
  <si>
    <t xml:space="preserve">  Adjustment for prior years</t>
  </si>
  <si>
    <t xml:space="preserve">  Other (name it in a comment)</t>
  </si>
  <si>
    <t xml:space="preserve">Tax charge per reconciliation</t>
  </si>
  <si>
    <t xml:space="preserve">Tax charge per income statement</t>
  </si>
  <si>
    <t xml:space="preserve">Difference (should be 0 once filled)</t>
  </si>
  <si>
    <t xml:space="preserve">Effective tax rate</t>
  </si>
  <si>
    <t xml:space="preserve">Gap to statutory rate (percentage points)</t>
  </si>
  <si>
    <t xml:space="preserve">Formula: feeds the Drivers adjustment row</t>
  </si>
  <si>
    <t xml:space="preserve">B. Split of the tax charge: current vs deferred</t>
  </si>
  <si>
    <t xml:space="preserve">Current tax charge</t>
  </si>
  <si>
    <t xml:space="preserve">Current year + prior-year adjustments. FY25 AR25 p152; FY24 AR24 p151; FY23 AR23 p142; FY21–22 AR22 p131</t>
  </si>
  <si>
    <t xml:space="preserve">Deferred tax charge</t>
  </si>
  <si>
    <t xml:space="preserve">Origination/reversal + prior-year adjustments (same pages)</t>
  </si>
  <si>
    <t xml:space="preserve">Total (should equal the income statement charge)</t>
  </si>
  <si>
    <t xml:space="preserve">Difference</t>
  </si>
  <si>
    <t xml:space="preserve">Memo: tax actually paid in cash</t>
  </si>
  <si>
    <t xml:space="preserve">Historical (cash flow)</t>
  </si>
  <si>
    <t xml:space="preserve">C. Deferred tax liability roll-forward (shown as positive balances)</t>
  </si>
  <si>
    <t xml:space="preserve">Opening deferred tax liability</t>
  </si>
  <si>
    <t xml:space="preserve">FY21 opening = FY20 closing, AR21 p119</t>
  </si>
  <si>
    <t xml:space="preserve">Charged to the income statement</t>
  </si>
  <si>
    <t xml:space="preserve">Deferred tax charge per the tax note</t>
  </si>
  <si>
    <t xml:space="preserve">Charged to other comprehensive income</t>
  </si>
  <si>
    <t xml:space="preserve">Not separately analysed here; included in 'other'</t>
  </si>
  <si>
    <t xml:space="preserve">Other movements</t>
  </si>
  <si>
    <t xml:space="preserve">Balancing figure: OCI (pensions), equity (share schemes) and other movements</t>
  </si>
  <si>
    <t xml:space="preserve">Closing liability (calculated)</t>
  </si>
  <si>
    <t xml:space="preserve">Closing liability per balance sheet</t>
  </si>
  <si>
    <t xml:space="preserve">Memo: capex (PPE + intangibles, cash)</t>
  </si>
  <si>
    <t xml:space="preserve">Memo: depreciation of PPE + amortisation</t>
  </si>
  <si>
    <t xml:space="preserve">Capex in excess of depreciation</t>
  </si>
  <si>
    <t xml:space="preserve">D. Key audit matter (FY25 independent auditor's report, AR25 PDF pp. 123–125) mapped to the model</t>
  </si>
  <si>
    <t xml:space="preserve">Key audit matter</t>
  </si>
  <si>
    <t xml:space="preserve">What the auditor did</t>
  </si>
  <si>
    <t xml:space="preserve">How the model treats it</t>
  </si>
  <si>
    <t xml:space="preserve">Recoverability of shop-based assets (IAS 36)
• Right-of-use assets £413.0m and PPE £832.1m
• Each shop is a cash-generating unit
• FY25 impairment: £3.0m (ROU) + £3.9m (PPE)</t>
  </si>
  <si>
    <t xml:space="preserve">• Challenged value-in-use assumptions: cash flows, discount rate, growth, cost inflation, central cost allocation
• Sensitivity analysis on headroom
• Used valuation and modelling specialists
• Tested the accuracy of past forecasts
• Materiality £8.01m; concluded management's view was appropriate</t>
  </si>
  <si>
    <t xml:space="preserve">• No separate impairment line: the margin is based on FY22–FY25, which already absorbed £3–7m of impairments a year
• The risk rises in the downside: weaker new-shop sales (70% of a mature shop) could push more shops below their book value</t>
  </si>
  <si>
    <t xml:space="preserve">FY25 had one key audit matter only.</t>
  </si>
  <si>
    <t xml:space="preserve">E. Model controls: how the numbers are verified</t>
  </si>
  <si>
    <t xml:space="preserve">Control</t>
  </si>
  <si>
    <t xml:space="preserve">What it checks and the result</t>
  </si>
  <si>
    <t xml:space="preserve">1. Source check</t>
  </si>
  <si>
    <t xml:space="preserve">scripts/verify_sources.py: all 352 testable historical figures are found on the report page they cite. 52 zeros and 3 derived figures are listed separately; 3 come from the Q4 trading update.</t>
  </si>
  <si>
    <t xml:space="preserve">2. Reconciliation</t>
  </si>
  <si>
    <t xml:space="preserve">scripts/reconcile.py and the Checks tab: 13 checks rebuild operating profit, PBT, total and net assets, the balance sheet and cash movements, and tie to the reported totals in all five years. The tax checks on this tab are within £0.1m (report rounding).</t>
  </si>
  <si>
    <t xml:space="preserve">3. Forecast integrity</t>
  </si>
  <si>
    <t xml:space="preserve">The balance sheet balances and closing cash ties in FY26–FY28 in every scenario and in all 30,000 Monte Carlo run-years; the Python model matches the Excel base case to £0.0m.</t>
  </si>
  <si>
    <t xml:space="preserve">Monte Carlo simulation – 10,000 runs of the full three-statement model</t>
  </si>
  <si>
    <t xml:space="preserve">Saved values, not live formulas: generated by simulation/monte_carlo.py (seed 42) from the base case and the min / max ranges on the Drivers tab. Results are conditional on those ranges and correlations. After changing an assumption, set Scenarios!B4 to Base and re-run: monte_carlo.py, charts.py, then add_to_workbook.py (instructions in the README and on the Notes tab). The Checks tab flags this tab if it no longer matches the live base case.</t>
  </si>
  <si>
    <t xml:space="preserve">Last run: 11 Oct 2026 · 10,000 runs · seed 42</t>
  </si>
  <si>
    <t xml:space="preserve">Percentiles (£m)</t>
  </si>
  <si>
    <t xml:space="preserve">Measure</t>
  </si>
  <si>
    <t xml:space="preserve">P25</t>
  </si>
  <si>
    <t xml:space="preserve">P75</t>
  </si>
  <si>
    <t xml:space="preserve">Mean</t>
  </si>
  <si>
    <t xml:space="preserve">Base case at run</t>
  </si>
  <si>
    <t xml:space="preserve">Probabilities (conditional on the ranges and correlations used)</t>
  </si>
  <si>
    <t xml:space="preserve">Question</t>
  </si>
  <si>
    <t xml:space="preserve">Probability</t>
  </si>
  <si>
    <t xml:space="preserve">FY26 underlying PBT above FY25 (£171.9m)</t>
  </si>
  <si>
    <t xml:space="preserve">FY26 underlying PBT above the base case</t>
  </si>
  <si>
    <t xml:space="preserve">FY28 underlying PBT above £200m</t>
  </si>
  <si>
    <t xml:space="preserve">Cash falls below £50m in any year FY26–FY28</t>
  </si>
  <si>
    <t xml:space="preserve">Cash falls below zero in any year FY26–FY28 (needs new borrowing)</t>
  </si>
  <si>
    <t xml:space="preserve">Tornado: FY28 underlying PBT with one driver at its min / max (others at base)</t>
  </si>
  <si>
    <t xml:space="preserve">At min</t>
  </si>
  <si>
    <t xml:space="preserve">At max</t>
  </si>
  <si>
    <t xml:space="preserve">Swing</t>
  </si>
  <si>
    <t xml:space="preserve">Lowest cash at min</t>
  </si>
  <si>
    <t xml:space="preserve">Lowest cash at max</t>
  </si>
  <si>
    <t xml:space="preserve">Capex</t>
  </si>
  <si>
    <t xml:space="preserve">Scenario snapshot (£m): the five scenario drivers at their range min / max together</t>
  </si>
  <si>
    <t xml:space="preserve">Scenario</t>
  </si>
  <si>
    <t xml:space="preserve">Rev FY26</t>
  </si>
  <si>
    <t xml:space="preserve">Rev FY27</t>
  </si>
  <si>
    <t xml:space="preserve">Rev FY28</t>
  </si>
  <si>
    <t xml:space="preserve">uPBT FY26</t>
  </si>
  <si>
    <t xml:space="preserve">uPBT FY27</t>
  </si>
  <si>
    <t xml:space="preserve">uPBT FY28</t>
  </si>
  <si>
    <t xml:space="preserve">Lowest cash</t>
  </si>
  <si>
    <t xml:space="preserve">Sensitivities: change in underlying PBT (£m) from ±1 point in every year, others at base</t>
  </si>
  <si>
    <t xml:space="preserve">Change</t>
  </si>
  <si>
    <t xml:space="preserve">LFL growth +1 point</t>
  </si>
  <si>
    <t xml:space="preserve">LFL growth −1 point</t>
  </si>
  <si>
    <t xml:space="preserve">Operating margin +1 point</t>
  </si>
  <si>
    <t xml:space="preserve">Operating margin −1 point</t>
  </si>
  <si>
    <t xml:space="preserve">Conclusions (conditional on the inputs above)</t>
  </si>
  <si>
    <t xml:space="preserve">On the chosen ranges and correlations, FY26 underlying profit beats FY25's £171.9m in about 90% of 10,000 runs (P5–P95: £170m–£190m). That makes growth the most likely outcome under these inputs, not a certainty: the probability depends on the ranges set, and a shock outside them is not captured.</t>
  </si>
  <si>
    <t xml:space="preserve">Cash stays positive in every simulated run and falls below £50m in about 1% of runs. On these assumptions, falling capex lets Greggs fund openings, restructuring and dividends without new debt, after negative free cash flow in FY25.</t>
  </si>
  <si>
    <t xml:space="preserve">I would watch like-for-like growth. Margin moves FY28 profit most (a £53m swing across its range), but LFL moves it £23m directly and, through its 0.5 correlation with margin in the simulation, pulls margin with it. LFL has slowed from 17.8% in FY22 to 2.4% in FY25.</t>
  </si>
  <si>
    <t xml:space="preserve">Checks – every row should show 0; any other value means something does not tie</t>
  </si>
  <si>
    <t xml:space="preserve">Historical checks tie the transcribed figures to the reported totals; forecast checks confirm the balance sheet balances and cash ties in FY26–FY28.</t>
  </si>
  <si>
    <t xml:space="preserve">Check</t>
  </si>
  <si>
    <t xml:space="preserve">Sheet</t>
  </si>
  <si>
    <t xml:space="preserve">Operating profit ties to report</t>
  </si>
  <si>
    <t xml:space="preserve">Profit before tax ties to report</t>
  </si>
  <si>
    <t xml:space="preserve">Profit for the year ties to report</t>
  </si>
  <si>
    <t xml:space="preserve">Underlying PBT ties to ten-year history</t>
  </si>
  <si>
    <t xml:space="preserve">Revenue split ties to total revenue</t>
  </si>
  <si>
    <t xml:space="preserve">Total assets tie to report</t>
  </si>
  <si>
    <t xml:space="preserve">Net assets tie to report</t>
  </si>
  <si>
    <t xml:space="preserve">Balance sheet balances (net assets less equity)</t>
  </si>
  <si>
    <t xml:space="preserve">Historical + Forecast</t>
  </si>
  <si>
    <t xml:space="preserve">Cash flow closing cash equals balance sheet cash</t>
  </si>
  <si>
    <t xml:space="preserve">Net change in cash ties to report</t>
  </si>
  <si>
    <t xml:space="preserve">Cash generated from operations: note ties to statement</t>
  </si>
  <si>
    <t xml:space="preserve">Profit in cash flow note equals income statement</t>
  </si>
  <si>
    <t xml:space="preserve">Shop openings less closures equal net openings</t>
  </si>
  <si>
    <t xml:space="preserve">Total of absolute differences (historical)</t>
  </si>
  <si>
    <t xml:space="preserve">Overall status (historical)</t>
  </si>
  <si>
    <t xml:space="preserve">Tax &amp; Audit and saved-output checks</t>
  </si>
  <si>
    <t xml:space="preserve">Tax reconciliation ties to income statement charge</t>
  </si>
  <si>
    <t xml:space="preserve">Current + deferred tax equals income statement charge</t>
  </si>
  <si>
    <t xml:space="preserve">Deferred tax roll-forward ties to balance sheet</t>
  </si>
  <si>
    <t xml:space="preserve">Saved simulation base case equals live base case (uPBT)</t>
  </si>
  <si>
    <t xml:space="preserve">Summary scenario snapshot equals live model (selected case)</t>
  </si>
  <si>
    <t xml:space="preserve">Verification log</t>
  </si>
  <si>
    <t xml:space="preserve">Block</t>
  </si>
  <si>
    <t xml:space="preserve">Date</t>
  </si>
  <si>
    <t xml:space="preserve">Notes</t>
  </si>
  <si>
    <t xml:space="preserve">Income statement FY21–FY25</t>
  </si>
  <si>
    <t xml:space="preserve">Source check: found on cited pages</t>
  </si>
  <si>
    <t xml:space="preserve">10 Oct 2026</t>
  </si>
  <si>
    <t xml:space="preserve">Reconciliation: operating profit, PBT, profit for the year and underlying PBT tie in all 5 years. Reviewed by the author.</t>
  </si>
  <si>
    <t xml:space="preserve">Exceptional items</t>
  </si>
  <si>
    <t xml:space="preserve">Underlying PBT ties to the ten-year history once exceptional items are added back. Reviewed by the author.</t>
  </si>
  <si>
    <t xml:space="preserve">Revenue split and shop KPIs</t>
  </si>
  <si>
    <t xml:space="preserve">Source check + FY25 shop data checked against the Q4 trading update (8 Jan 2026)</t>
  </si>
  <si>
    <t xml:space="preserve">Revenue split ties to revenue; openings less closures equal the change in shops. Reviewed by the author.</t>
  </si>
  <si>
    <t xml:space="preserve">Balance sheet FY21–FY25</t>
  </si>
  <si>
    <t xml:space="preserve">Total assets, net assets and the balance sheet tie in all 5 years. Reviewed by the author.</t>
  </si>
  <si>
    <t xml:space="preserve">Cash flow FY21–FY25</t>
  </si>
  <si>
    <t xml:space="preserve">Closing cash equals balance sheet cash; net change ties to the report. Reviewed by the author.</t>
  </si>
  <si>
    <t xml:space="preserve">Cash generated from operations note</t>
  </si>
  <si>
    <t xml:space="preserve">Note ties to the cash flow statement; profit in the note equals the income statement. Reviewed by the author.</t>
  </si>
</sst>
</file>

<file path=xl/styles.xml><?xml version="1.0" encoding="utf-8"?>
<styleSheet xmlns="http://schemas.openxmlformats.org/spreadsheetml/2006/main">
  <numFmts count="13">
    <numFmt numFmtId="164" formatCode="General"/>
    <numFmt numFmtId="165" formatCode="0"/>
    <numFmt numFmtId="166" formatCode="0%"/>
    <numFmt numFmtId="167" formatCode="0.0%"/>
    <numFmt numFmtId="168" formatCode="#,##0"/>
    <numFmt numFmtId="169" formatCode="#,##0.0"/>
    <numFmt numFmtId="170" formatCode="0.0"/>
    <numFmt numFmtId="171" formatCode="\+#,##0.0;\−#,##0.0"/>
    <numFmt numFmtId="172" formatCode="0.0%;\(0.0%\);\-"/>
    <numFmt numFmtId="173" formatCode="#,##0.0;\(#,##0.0\);\-"/>
    <numFmt numFmtId="174" formatCode="#,##0;\(#,##0\);\-"/>
    <numFmt numFmtId="175" formatCode="0.000"/>
    <numFmt numFmtId="176" formatCode="0.0;\(0.0\);0.0"/>
  </numFmts>
  <fonts count="27">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7F6000"/>
      <name val="Arial"/>
      <family val="0"/>
      <charset val="1"/>
    </font>
    <font>
      <sz val="10"/>
      <name val="Arial"/>
      <family val="0"/>
      <charset val="1"/>
    </font>
    <font>
      <b val="true"/>
      <sz val="11"/>
      <color rgb="FF1F3864"/>
      <name val="Arial"/>
      <family val="0"/>
      <charset val="1"/>
    </font>
    <font>
      <b val="true"/>
      <sz val="10"/>
      <name val="Arial"/>
      <family val="0"/>
      <charset val="1"/>
    </font>
    <font>
      <sz val="10"/>
      <color rgb="FF008000"/>
      <name val="Arial"/>
      <family val="0"/>
      <charset val="1"/>
    </font>
    <font>
      <sz val="10"/>
      <color rgb="FF7F6000"/>
      <name val="Arial"/>
      <family val="0"/>
      <charset val="1"/>
    </font>
    <font>
      <sz val="10"/>
      <color rgb="FF0000FF"/>
      <name val="Arial"/>
      <family val="2"/>
      <charset val="1"/>
    </font>
    <font>
      <b val="true"/>
      <sz val="10"/>
      <name val="Arial"/>
      <family val="2"/>
      <charset val="1"/>
    </font>
    <font>
      <sz val="10"/>
      <color rgb="FF000000"/>
      <name val="Arial"/>
      <family val="2"/>
      <charset val="1"/>
    </font>
    <font>
      <sz val="10"/>
      <color rgb="FF008000"/>
      <name val="Arial"/>
      <family val="2"/>
      <charset val="1"/>
    </font>
    <font>
      <sz val="11"/>
      <color theme="1"/>
      <name val="Arial"/>
      <family val="2"/>
      <charset val="1"/>
    </font>
    <font>
      <b val="true"/>
      <sz val="10"/>
      <color rgb="FFFFFFFF"/>
      <name val="Arial"/>
      <family val="2"/>
      <charset val="1"/>
    </font>
    <font>
      <sz val="10"/>
      <color rgb="FF000000"/>
      <name val="Arial"/>
      <family val="0"/>
      <charset val="1"/>
    </font>
    <font>
      <i val="true"/>
      <sz val="10"/>
      <color rgb="FF808080"/>
      <name val="Arial"/>
      <family val="2"/>
      <charset val="1"/>
    </font>
    <font>
      <i val="true"/>
      <sz val="9"/>
      <color rgb="FFC00000"/>
      <name val="Arial"/>
      <family val="2"/>
      <charset val="1"/>
    </font>
    <font>
      <i val="true"/>
      <sz val="9"/>
      <color rgb="FF595959"/>
      <name val="Arial"/>
      <family val="2"/>
      <charset val="1"/>
    </font>
    <font>
      <b val="true"/>
      <sz val="10"/>
      <color rgb="FF000000"/>
      <name val="Arial"/>
      <family val="2"/>
      <charset val="1"/>
    </font>
    <font>
      <sz val="10"/>
      <name val="Arial"/>
      <family val="2"/>
    </font>
    <font>
      <sz val="10"/>
      <color rgb="FF0000FF"/>
      <name val="Arial"/>
      <family val="0"/>
      <charset val="1"/>
    </font>
    <font>
      <b val="true"/>
      <sz val="10"/>
      <color rgb="FF0000FF"/>
      <name val="Arial"/>
      <family val="0"/>
      <charset val="1"/>
    </font>
    <font>
      <b val="true"/>
      <sz val="10"/>
      <color rgb="FFFFFFFF"/>
      <name val="Arial"/>
      <family val="0"/>
      <charset val="1"/>
    </font>
  </fonts>
  <fills count="6">
    <fill>
      <patternFill patternType="none"/>
    </fill>
    <fill>
      <patternFill patternType="gray125"/>
    </fill>
    <fill>
      <patternFill patternType="solid">
        <fgColor rgb="FFFFF2CC"/>
        <bgColor rgb="FFFFFFFF"/>
      </patternFill>
    </fill>
    <fill>
      <patternFill patternType="solid">
        <fgColor rgb="FF1F3864"/>
        <bgColor rgb="FF333333"/>
      </patternFill>
    </fill>
    <fill>
      <patternFill patternType="solid">
        <fgColor rgb="FFD9E1F2"/>
        <bgColor rgb="FFDDEBF7"/>
      </patternFill>
    </fill>
    <fill>
      <patternFill patternType="solid">
        <fgColor rgb="FFDDEBF7"/>
        <bgColor rgb="FFD9E1F2"/>
      </patternFill>
    </fill>
  </fills>
  <borders count="4">
    <border diagonalUp="false" diagonalDown="false">
      <left/>
      <right/>
      <top/>
      <bottom/>
      <diagonal/>
    </border>
    <border diagonalUp="false" diagonalDown="false">
      <left/>
      <right/>
      <top/>
      <bottom style="thin">
        <color rgb="FF999999"/>
      </bottom>
      <diagonal/>
    </border>
    <border diagonalUp="false" diagonalDown="false">
      <left/>
      <right/>
      <top style="thin"/>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left" vertical="bottom" textRotation="0" wrapText="true" indent="0" shrinkToFit="false"/>
      <protection locked="true" hidden="false"/>
    </xf>
    <xf numFmtId="164" fontId="9" fillId="0" borderId="1" xfId="0" applyFont="true" applyBorder="true" applyAlignment="true" applyProtection="false">
      <alignment horizontal="right" vertical="bottom" textRotation="0" wrapText="true" indent="0" shrinkToFit="false"/>
      <protection locked="true" hidden="false"/>
    </xf>
    <xf numFmtId="164" fontId="9" fillId="0" borderId="1" xfId="0" applyFont="true" applyBorder="true" applyAlignment="true" applyProtection="false">
      <alignment horizontal="left" vertical="top" textRotation="0" wrapText="true" indent="2"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2"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8" fontId="10" fillId="0"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9" fontId="10"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9" fontId="11"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top" textRotation="0" wrapText="true" indent="2"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9" fontId="7" fillId="0"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general" vertical="bottom" textRotation="0" wrapText="false" indent="0" shrinkToFit="false"/>
      <protection locked="true" hidden="false"/>
    </xf>
    <xf numFmtId="171" fontId="7"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64" fontId="14" fillId="2"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7" fillId="3" borderId="0" xfId="0" applyFont="true" applyBorder="false" applyAlignment="true" applyProtection="false">
      <alignment horizontal="general" vertical="top" textRotation="0" wrapText="false" indent="0" shrinkToFit="false"/>
      <protection locked="true" hidden="false"/>
    </xf>
    <xf numFmtId="164" fontId="17" fillId="3"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72" fontId="18"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7" fillId="3" borderId="0" xfId="0" applyFont="true" applyBorder="false" applyAlignment="true" applyProtection="false">
      <alignment horizontal="left" vertical="bottom" textRotation="0" wrapText="false" indent="0" shrinkToFit="false"/>
      <protection locked="true" hidden="false"/>
    </xf>
    <xf numFmtId="164" fontId="17" fillId="3" borderId="0" xfId="0" applyFont="true" applyBorder="fals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center" vertical="bottom" textRotation="0" wrapText="false" indent="0" shrinkToFit="false"/>
      <protection locked="true" hidden="false"/>
    </xf>
    <xf numFmtId="164" fontId="13"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73" fontId="12"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73" fontId="22" fillId="0" borderId="2" xfId="0" applyFont="true" applyBorder="true" applyAlignment="true" applyProtection="false">
      <alignment horizontal="general" vertical="bottom" textRotation="0" wrapText="false" indent="0" shrinkToFit="false"/>
      <protection locked="true" hidden="false"/>
    </xf>
    <xf numFmtId="172" fontId="14" fillId="0" borderId="0" xfId="0" applyFont="true" applyBorder="false" applyAlignment="true" applyProtection="false">
      <alignment horizontal="general" vertical="bottom" textRotation="0" wrapText="false" indent="0" shrinkToFit="false"/>
      <protection locked="true" hidden="false"/>
    </xf>
    <xf numFmtId="173" fontId="14" fillId="0" borderId="0" xfId="0" applyFont="true" applyBorder="false" applyAlignment="true" applyProtection="false">
      <alignment horizontal="general" vertical="bottom" textRotation="0" wrapText="false" indent="0" shrinkToFit="false"/>
      <protection locked="true" hidden="false"/>
    </xf>
    <xf numFmtId="174" fontId="12" fillId="0" borderId="0" xfId="0" applyFont="true" applyBorder="false" applyAlignment="true" applyProtection="false">
      <alignment horizontal="general" vertical="bottom" textRotation="0" wrapText="false" indent="0" shrinkToFit="false"/>
      <protection locked="true" hidden="false"/>
    </xf>
    <xf numFmtId="174" fontId="14" fillId="0" borderId="0" xfId="0" applyFont="true" applyBorder="false" applyAlignment="true" applyProtection="false">
      <alignment horizontal="general" vertical="bottom" textRotation="0" wrapText="false" indent="0" shrinkToFit="false"/>
      <protection locked="true" hidden="false"/>
    </xf>
    <xf numFmtId="172" fontId="12"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75" fontId="14" fillId="0" borderId="0" xfId="0" applyFont="true" applyBorder="false" applyAlignment="true" applyProtection="false">
      <alignment horizontal="general" vertical="bottom" textRotation="0" wrapText="false" indent="0" shrinkToFit="false"/>
      <protection locked="true" hidden="false"/>
    </xf>
    <xf numFmtId="164" fontId="17" fillId="3"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74" fontId="15" fillId="0" borderId="0" xfId="0" applyFont="true" applyBorder="false" applyAlignment="true" applyProtection="false">
      <alignment horizontal="general" vertical="bottom" textRotation="0" wrapText="false" indent="0" shrinkToFit="false"/>
      <protection locked="true" hidden="false"/>
    </xf>
    <xf numFmtId="172" fontId="15" fillId="0" borderId="0" xfId="0" applyFont="true" applyBorder="false" applyAlignment="true" applyProtection="false">
      <alignment horizontal="general" vertical="bottom" textRotation="0" wrapText="false" indent="0" shrinkToFit="false"/>
      <protection locked="true" hidden="false"/>
    </xf>
    <xf numFmtId="175" fontId="15" fillId="0" borderId="0" xfId="0" applyFont="true" applyBorder="false" applyAlignment="true" applyProtection="false">
      <alignment horizontal="general" vertical="bottom" textRotation="0" wrapText="false" indent="0" shrinkToFit="false"/>
      <protection locked="true" hidden="false"/>
    </xf>
    <xf numFmtId="173" fontId="15"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73" fontId="22" fillId="0" borderId="0" xfId="0" applyFont="tru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75" fontId="12" fillId="0" borderId="0" xfId="0" applyFont="true" applyBorder="false" applyAlignment="true" applyProtection="false">
      <alignment horizontal="general" vertical="bottom" textRotation="0" wrapText="false" indent="0" shrinkToFit="false"/>
      <protection locked="true" hidden="false"/>
    </xf>
    <xf numFmtId="164" fontId="13" fillId="4" borderId="0" xfId="0" applyFont="true" applyBorder="false" applyAlignment="true" applyProtection="false">
      <alignment horizontal="general" vertical="center" textRotation="0" wrapText="false" indent="0" shrinkToFit="false"/>
      <protection locked="true" hidden="false"/>
    </xf>
    <xf numFmtId="164" fontId="0" fillId="4" borderId="0" xfId="0" applyFont="fals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74" fontId="10" fillId="0" borderId="0" xfId="0" applyFont="true" applyBorder="false" applyAlignment="true" applyProtection="false">
      <alignment horizontal="general" vertical="center" textRotation="0" wrapText="false" indent="0" shrinkToFit="false"/>
      <protection locked="true" hidden="false"/>
    </xf>
    <xf numFmtId="174" fontId="12" fillId="0" borderId="0" xfId="0" applyFont="true" applyBorder="false" applyAlignment="true" applyProtection="false">
      <alignment horizontal="general" vertical="center" textRotation="0" wrapText="false" indent="0" shrinkToFit="false"/>
      <protection locked="true" hidden="false"/>
    </xf>
    <xf numFmtId="164" fontId="21" fillId="0" borderId="0" xfId="0" applyFont="true" applyBorder="false" applyAlignment="true" applyProtection="false">
      <alignment horizontal="general" vertical="center" textRotation="0" wrapText="true" indent="0" shrinkToFit="false"/>
      <protection locked="true" hidden="false"/>
    </xf>
    <xf numFmtId="172" fontId="12" fillId="0" borderId="0" xfId="0" applyFont="true" applyBorder="false" applyAlignment="true" applyProtection="false">
      <alignment horizontal="general" vertical="center" textRotation="0" wrapText="false" indent="0" shrinkToFit="false"/>
      <protection locked="true" hidden="false"/>
    </xf>
    <xf numFmtId="172" fontId="10" fillId="0" borderId="0" xfId="0" applyFont="true" applyBorder="false" applyAlignment="true" applyProtection="false">
      <alignment horizontal="general" vertical="center" textRotation="0" wrapText="false" indent="0" shrinkToFit="false"/>
      <protection locked="true" hidden="false"/>
    </xf>
    <xf numFmtId="173" fontId="12"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75" fontId="14" fillId="0" borderId="0" xfId="0" applyFont="true" applyBorder="false" applyAlignment="true" applyProtection="false">
      <alignment horizontal="general" vertical="center" textRotation="0" wrapText="false" indent="0" shrinkToFit="false"/>
      <protection locked="true" hidden="false"/>
    </xf>
    <xf numFmtId="172" fontId="2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6" fontId="24" fillId="0" borderId="0" xfId="0" applyFont="true" applyBorder="false" applyAlignment="true" applyProtection="false">
      <alignment horizontal="general" vertical="center" textRotation="0" wrapText="false" indent="0" shrinkToFit="false"/>
      <protection locked="true" hidden="false"/>
    </xf>
    <xf numFmtId="170" fontId="12" fillId="0" borderId="0" xfId="0" applyFont="true" applyBorder="false" applyAlignment="true" applyProtection="false">
      <alignment horizontal="general" vertical="center" textRotation="0" wrapText="false" indent="0" shrinkToFit="false"/>
      <protection locked="true" hidden="false"/>
    </xf>
    <xf numFmtId="164" fontId="17" fillId="3" borderId="0" xfId="0" applyFont="true" applyBorder="false" applyAlignment="true" applyProtection="false">
      <alignment horizontal="general" vertical="center" textRotation="0" wrapText="false" indent="0" shrinkToFit="false"/>
      <protection locked="true" hidden="false"/>
    </xf>
    <xf numFmtId="172" fontId="15" fillId="0" borderId="0" xfId="0" applyFont="true" applyBorder="false" applyAlignment="true" applyProtection="false">
      <alignment horizontal="general" vertical="center" textRotation="0" wrapText="false" indent="0" shrinkToFit="false"/>
      <protection locked="true" hidden="false"/>
    </xf>
    <xf numFmtId="173" fontId="15" fillId="0"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25" fillId="5" borderId="0" xfId="0" applyFont="true" applyBorder="false" applyAlignment="true" applyProtection="false">
      <alignment horizontal="center" vertical="bottom" textRotation="0" wrapText="false" indent="0" shrinkToFit="false"/>
      <protection locked="true" hidden="false"/>
    </xf>
    <xf numFmtId="164" fontId="26" fillId="3" borderId="0" xfId="0" applyFont="true" applyBorder="false" applyAlignment="true" applyProtection="false">
      <alignment horizontal="general" vertical="bottom" textRotation="0" wrapText="false" indent="0" shrinkToFit="false"/>
      <protection locked="true" hidden="false"/>
    </xf>
    <xf numFmtId="164" fontId="26" fillId="3" borderId="0" xfId="0" applyFont="true" applyBorder="false" applyAlignment="true" applyProtection="false">
      <alignment horizontal="right" vertical="bottom" textRotation="0" wrapText="false" indent="0" shrinkToFit="false"/>
      <protection locked="true" hidden="false"/>
    </xf>
    <xf numFmtId="172" fontId="5" fillId="0" borderId="0" xfId="0" applyFont="true" applyBorder="false" applyAlignment="tru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general" vertical="bottom" textRotation="0" wrapText="false" indent="0" shrinkToFit="false"/>
      <protection locked="true" hidden="false"/>
    </xf>
    <xf numFmtId="174" fontId="5" fillId="0" borderId="0" xfId="0" applyFont="true" applyBorder="false" applyAlignment="true" applyProtection="false">
      <alignment horizontal="general" vertical="bottom" textRotation="0" wrapText="false" indent="0" shrinkToFit="false"/>
      <protection locked="true" hidden="false"/>
    </xf>
    <xf numFmtId="172" fontId="24" fillId="0" borderId="0" xfId="0" applyFont="true" applyBorder="false" applyAlignment="true" applyProtection="false">
      <alignment horizontal="general" vertical="bottom" textRotation="0" wrapText="false" indent="0" shrinkToFit="false"/>
      <protection locked="true" hidden="false"/>
    </xf>
    <xf numFmtId="172" fontId="7" fillId="0" borderId="0" xfId="0" applyFont="true" applyBorder="false" applyAlignment="tru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bottom" textRotation="0" wrapText="false" indent="0" shrinkToFit="false"/>
      <protection locked="true" hidden="false"/>
    </xf>
    <xf numFmtId="173" fontId="10" fillId="0" borderId="0" xfId="0" applyFont="true" applyBorder="false" applyAlignment="true" applyProtection="false">
      <alignment horizontal="right" vertical="bottom" textRotation="0" wrapText="false" indent="0" shrinkToFit="false"/>
      <protection locked="true" hidden="false"/>
    </xf>
    <xf numFmtId="172" fontId="10" fillId="0" borderId="0" xfId="0" applyFont="true" applyBorder="false" applyAlignment="true" applyProtection="false">
      <alignment horizontal="right" vertical="bottom" textRotation="0" wrapText="false" indent="0" shrinkToFit="false"/>
      <protection locked="true" hidden="false"/>
    </xf>
    <xf numFmtId="175" fontId="10" fillId="0" borderId="0" xfId="0" applyFont="true" applyBorder="false" applyAlignment="true" applyProtection="false">
      <alignment horizontal="right" vertical="bottom" textRotation="0" wrapText="false" indent="0" shrinkToFit="false"/>
      <protection locked="true" hidden="false"/>
    </xf>
    <xf numFmtId="175" fontId="7" fillId="0" borderId="0" xfId="0" applyFont="true" applyBorder="false" applyAlignment="true" applyProtection="false">
      <alignment horizontal="right" vertical="bottom" textRotation="0" wrapText="false" indent="0" shrinkToFit="false"/>
      <protection locked="true" hidden="false"/>
    </xf>
    <xf numFmtId="168" fontId="10" fillId="0" borderId="0" xfId="0" applyFont="true" applyBorder="false" applyAlignment="true" applyProtection="false">
      <alignment horizontal="right" vertical="bottom" textRotation="0" wrapText="false" indent="0" shrinkToFit="false"/>
      <protection locked="true" hidden="false"/>
    </xf>
    <xf numFmtId="173" fontId="7" fillId="0" borderId="0" xfId="0" applyFont="true" applyBorder="false" applyAlignment="true" applyProtection="false">
      <alignment horizontal="right" vertical="bottom" textRotation="0" wrapText="false" indent="0" shrinkToFit="false"/>
      <protection locked="true" hidden="false"/>
    </xf>
    <xf numFmtId="172" fontId="7" fillId="0" borderId="0" xfId="0" applyFont="true" applyBorder="false" applyAlignment="true" applyProtection="false">
      <alignment horizontal="right" vertical="bottom" textRotation="0" wrapText="false" indent="0" shrinkToFit="false"/>
      <protection locked="true" hidden="false"/>
    </xf>
    <xf numFmtId="164" fontId="17" fillId="3" borderId="0" xfId="0" applyFont="true" applyBorder="false" applyAlignment="true" applyProtection="false">
      <alignment horizontal="left" vertical="center" textRotation="0" wrapText="true" indent="0" shrinkToFit="false"/>
      <protection locked="true" hidden="false"/>
    </xf>
    <xf numFmtId="164" fontId="17" fillId="3" borderId="0" xfId="0" applyFont="true" applyBorder="false" applyAlignment="true" applyProtection="false">
      <alignment horizontal="right" vertical="center" textRotation="0" wrapText="true" indent="0" shrinkToFit="false"/>
      <protection locked="true" hidden="false"/>
    </xf>
    <xf numFmtId="169" fontId="24" fillId="0" borderId="0" xfId="0" applyFont="true" applyBorder="false" applyAlignment="true" applyProtection="false">
      <alignment horizontal="general" vertical="bottom" textRotation="0" wrapText="false" indent="0" shrinkToFit="false"/>
      <protection locked="true" hidden="false"/>
    </xf>
    <xf numFmtId="169" fontId="0" fillId="2" borderId="0" xfId="0" applyFont="false" applyBorder="false" applyAlignment="true" applyProtection="false">
      <alignment horizontal="general" vertical="bottom" textRotation="0" wrapText="false" indent="0" shrinkToFit="false"/>
      <protection locked="true" hidden="false"/>
    </xf>
    <xf numFmtId="167" fontId="24" fillId="0"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8" fontId="0" fillId="2" borderId="0" xfId="0" applyFont="false" applyBorder="false" applyAlignment="true" applyProtection="false">
      <alignment horizontal="general" vertical="bottom" textRotation="0" wrapText="false" indent="0" shrinkToFit="false"/>
      <protection locked="true" hidden="false"/>
    </xf>
    <xf numFmtId="173" fontId="24" fillId="0"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4" fontId="26" fillId="3" borderId="3" xfId="0" applyFont="true" applyBorder="true" applyAlignment="true" applyProtection="false">
      <alignment horizontal="general" vertical="center" textRotation="0" wrapText="true" indent="0" shrinkToFit="false"/>
      <protection locked="true" hidden="false"/>
    </xf>
    <xf numFmtId="164" fontId="7" fillId="0" borderId="3" xfId="0" applyFont="true" applyBorder="true" applyAlignment="true" applyProtection="false">
      <alignment horizontal="general" vertical="top" textRotation="0" wrapText="true" indent="0" shrinkToFit="false"/>
      <protection locked="true" hidden="false"/>
    </xf>
    <xf numFmtId="164" fontId="9" fillId="0" borderId="3" xfId="0" applyFont="true" applyBorder="true" applyAlignment="true" applyProtection="false">
      <alignment horizontal="general" vertical="top" textRotation="0" wrapText="true" indent="0" shrinkToFit="false"/>
      <protection locked="true" hidden="false"/>
    </xf>
    <xf numFmtId="164" fontId="26" fillId="3"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76" fontId="14" fillId="0" borderId="0" xfId="0" applyFont="true" applyBorder="false" applyAlignment="true" applyProtection="false">
      <alignment horizontal="general" vertical="bottom" textRotation="0" wrapText="false" indent="0" shrinkToFit="false"/>
      <protection locked="true" hidden="false"/>
    </xf>
    <xf numFmtId="170" fontId="22"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4" fontId="17" fillId="3"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FCE"/>
        </patternFill>
      </fill>
    </dxf>
    <dxf>
      <fill>
        <patternFill>
          <bgColor rgb="FFFFC7CE"/>
        </patternFill>
      </fill>
    </dxf>
    <dxf>
      <fill>
        <patternFill>
          <bgColor rgb="FFF8CBA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A6A6A6"/>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C7CE"/>
      <rgbColor rgb="FFCC99FF"/>
      <rgbColor rgb="FFF8CBAD"/>
      <rgbColor rgb="FF3366FF"/>
      <rgbColor rgb="FF33CCCC"/>
      <rgbColor rgb="FF99CC00"/>
      <rgbColor rgb="FFFFCC00"/>
      <rgbColor rgb="FFFF9900"/>
      <rgbColor rgb="FFFF6600"/>
      <rgbColor rgb="FF595959"/>
      <rgbColor rgb="FF999999"/>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2</xdr:row>
      <xdr:rowOff>160560</xdr:rowOff>
    </xdr:from>
    <xdr:to>
      <xdr:col>19</xdr:col>
      <xdr:colOff>591480</xdr:colOff>
      <xdr:row>19</xdr:row>
      <xdr:rowOff>121320</xdr:rowOff>
    </xdr:to>
    <xdr:pic>
      <xdr:nvPicPr>
        <xdr:cNvPr id="0" name="Image 1" descr="Picture"/>
        <xdr:cNvPicPr/>
      </xdr:nvPicPr>
      <xdr:blipFill>
        <a:blip r:embed="rId1"/>
        <a:stretch/>
      </xdr:blipFill>
      <xdr:spPr>
        <a:xfrm>
          <a:off x="11466360" y="1036800"/>
          <a:ext cx="6094800" cy="3199320"/>
        </a:xfrm>
        <a:prstGeom prst="rect">
          <a:avLst/>
        </a:prstGeom>
        <a:ln w="0">
          <a:noFill/>
        </a:ln>
      </xdr:spPr>
    </xdr:pic>
    <xdr:clientData/>
  </xdr:twoCellAnchor>
  <xdr:twoCellAnchor editAs="oneCell">
    <xdr:from>
      <xdr:col>10</xdr:col>
      <xdr:colOff>0</xdr:colOff>
      <xdr:row>21</xdr:row>
      <xdr:rowOff>160560</xdr:rowOff>
    </xdr:from>
    <xdr:to>
      <xdr:col>19</xdr:col>
      <xdr:colOff>591480</xdr:colOff>
      <xdr:row>37</xdr:row>
      <xdr:rowOff>6840</xdr:rowOff>
    </xdr:to>
    <xdr:pic>
      <xdr:nvPicPr>
        <xdr:cNvPr id="1" name="Image 2" descr="Picture"/>
        <xdr:cNvPicPr/>
      </xdr:nvPicPr>
      <xdr:blipFill>
        <a:blip r:embed="rId2"/>
        <a:stretch/>
      </xdr:blipFill>
      <xdr:spPr>
        <a:xfrm>
          <a:off x="11466360" y="4656240"/>
          <a:ext cx="6094800" cy="28944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drawing" Target="../drawings/drawing1.x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4" min="2" style="1" width="12"/>
    <col collapsed="false" customWidth="true" hidden="false" outlineLevel="0" max="5" min="5" style="1" width="13"/>
    <col collapsed="false" customWidth="true" hidden="false" outlineLevel="0" max="6" min="6" style="1" width="58"/>
  </cols>
  <sheetData>
    <row r="1" customFormat="false" ht="21.75" hidden="false" customHeight="true" outlineLevel="0" collapsed="false">
      <c r="A1" s="2" t="s">
        <v>0</v>
      </c>
    </row>
    <row r="2" customFormat="false" ht="27.75" hidden="false" customHeight="true" outlineLevel="0" collapsed="false">
      <c r="A2" s="3" t="str">
        <f aca="false">"£m. Green figures are live and follow the scenario selected on the Scenarios tab (currently: "&amp;Scenarios!B4&amp;"). Amber figures are saved outputs from the last simulation run (Simulation tab) and change only when it is re-run; checks below and on the Checks tab flag them if they go out of date."</f>
        <v>£m. Green figures are live and follow the scenario selected on the Scenarios tab (currently: Base). Amber figures are saved outputs from the last simulation run (Simulation tab) and change only when it is re-run; checks below and on the Checks tab flag them if they go out of date.</v>
      </c>
      <c r="B2" s="3"/>
      <c r="C2" s="3"/>
      <c r="D2" s="3"/>
      <c r="E2" s="3"/>
      <c r="F2" s="3"/>
    </row>
    <row r="3" customFormat="false" ht="15" hidden="false" customHeight="true" outlineLevel="0" collapsed="false">
      <c r="A3" s="4" t="s">
        <v>1</v>
      </c>
      <c r="B3" s="5"/>
      <c r="C3" s="5"/>
      <c r="D3" s="5"/>
      <c r="E3" s="5"/>
      <c r="F3" s="5"/>
    </row>
    <row r="4" customFormat="false" ht="27.75" hidden="false" customHeight="true" outlineLevel="0" collapsed="false">
      <c r="A4" s="6" t="s">
        <v>2</v>
      </c>
      <c r="B4" s="6"/>
      <c r="C4" s="6"/>
      <c r="D4" s="6"/>
      <c r="E4" s="6"/>
      <c r="F4" s="6"/>
    </row>
    <row r="5" customFormat="false" ht="27.75" hidden="false" customHeight="true" outlineLevel="0" collapsed="false">
      <c r="A5" s="6" t="s">
        <v>3</v>
      </c>
      <c r="B5" s="6"/>
      <c r="C5" s="6"/>
      <c r="D5" s="6"/>
      <c r="E5" s="6"/>
      <c r="F5" s="6"/>
    </row>
    <row r="6" customFormat="false" ht="27.75" hidden="false" customHeight="true" outlineLevel="0" collapsed="false">
      <c r="A6" s="6" t="s">
        <v>4</v>
      </c>
      <c r="B6" s="6"/>
      <c r="C6" s="6"/>
      <c r="D6" s="6"/>
      <c r="E6" s="6"/>
      <c r="F6" s="6"/>
    </row>
    <row r="8" customFormat="false" ht="18" hidden="false" customHeight="true" outlineLevel="0" collapsed="false">
      <c r="A8" s="7" t="s">
        <v>5</v>
      </c>
    </row>
    <row r="9" customFormat="false" ht="43.5" hidden="false" customHeight="true" outlineLevel="0" collapsed="false">
      <c r="A9" s="8" t="s">
        <v>6</v>
      </c>
      <c r="B9" s="8"/>
      <c r="C9" s="8"/>
      <c r="D9" s="8"/>
      <c r="E9" s="8"/>
      <c r="F9" s="8"/>
    </row>
    <row r="11" customFormat="false" ht="18" hidden="false" customHeight="true" outlineLevel="0" collapsed="false">
      <c r="A11" s="7" t="s">
        <v>7</v>
      </c>
    </row>
    <row r="12" customFormat="false" ht="15" hidden="false" customHeight="true" outlineLevel="0" collapsed="false">
      <c r="A12" s="9" t="s">
        <v>8</v>
      </c>
      <c r="B12" s="10" t="s">
        <v>9</v>
      </c>
      <c r="C12" s="10" t="s">
        <v>10</v>
      </c>
      <c r="D12" s="10" t="s">
        <v>11</v>
      </c>
      <c r="E12" s="10"/>
      <c r="F12" s="11" t="s">
        <v>12</v>
      </c>
    </row>
    <row r="13" customFormat="false" ht="15" hidden="false" customHeight="true" outlineLevel="0" collapsed="false">
      <c r="A13" s="12" t="s">
        <v>13</v>
      </c>
      <c r="B13" s="13" t="n">
        <f aca="false">Scenarios!C7</f>
        <v>105</v>
      </c>
      <c r="C13" s="13" t="n">
        <f aca="false">Scenarios!C8</f>
        <v>110</v>
      </c>
      <c r="D13" s="13" t="n">
        <f aca="false">Scenarios!C9</f>
        <v>110</v>
      </c>
      <c r="E13" s="14"/>
      <c r="F13" s="15" t="s">
        <v>14</v>
      </c>
    </row>
    <row r="14" customFormat="false" ht="15" hidden="false" customHeight="true" outlineLevel="0" collapsed="false">
      <c r="A14" s="12" t="s">
        <v>15</v>
      </c>
      <c r="B14" s="16" t="n">
        <f aca="false">Drivers!C7</f>
        <v>0.63</v>
      </c>
      <c r="C14" s="16" t="n">
        <f aca="false">Drivers!D7</f>
        <v>0.63</v>
      </c>
      <c r="D14" s="16" t="n">
        <f aca="false">Drivers!E7</f>
        <v>0.63</v>
      </c>
      <c r="E14" s="17"/>
      <c r="F14" s="15" t="s">
        <v>16</v>
      </c>
    </row>
    <row r="15" customFormat="false" ht="15" hidden="false" customHeight="true" outlineLevel="0" collapsed="false">
      <c r="A15" s="12" t="s">
        <v>17</v>
      </c>
      <c r="B15" s="18" t="n">
        <f aca="false">Scenarios!C10</f>
        <v>0.026</v>
      </c>
      <c r="C15" s="18" t="n">
        <f aca="false">Scenarios!C11</f>
        <v>0.03</v>
      </c>
      <c r="D15" s="18" t="n">
        <f aca="false">Scenarios!C12</f>
        <v>0.03</v>
      </c>
      <c r="E15" s="19"/>
      <c r="F15" s="15" t="s">
        <v>18</v>
      </c>
    </row>
    <row r="16" customFormat="false" ht="15" hidden="false" customHeight="true" outlineLevel="0" collapsed="false">
      <c r="A16" s="12" t="s">
        <v>19</v>
      </c>
      <c r="B16" s="16" t="n">
        <f aca="false">Scenarios!C13</f>
        <v>0.85</v>
      </c>
      <c r="C16" s="16" t="n">
        <f aca="false">Scenarios!C14</f>
        <v>0.85</v>
      </c>
      <c r="D16" s="16" t="n">
        <f aca="false">Scenarios!C15</f>
        <v>0.85</v>
      </c>
      <c r="E16" s="17"/>
      <c r="F16" s="15" t="s">
        <v>20</v>
      </c>
    </row>
    <row r="17" customFormat="false" ht="15" hidden="false" customHeight="true" outlineLevel="0" collapsed="false">
      <c r="A17" s="12" t="s">
        <v>21</v>
      </c>
      <c r="B17" s="18" t="n">
        <f aca="false">Scenarios!C16</f>
        <v>0.1</v>
      </c>
      <c r="C17" s="18" t="n">
        <f aca="false">Scenarios!C17</f>
        <v>0.08</v>
      </c>
      <c r="D17" s="18" t="n">
        <f aca="false">Scenarios!C18</f>
        <v>0.08</v>
      </c>
      <c r="E17" s="19"/>
      <c r="F17" s="15" t="s">
        <v>22</v>
      </c>
    </row>
    <row r="18" customFormat="false" ht="15" hidden="false" customHeight="true" outlineLevel="0" collapsed="false">
      <c r="A18" s="12" t="s">
        <v>23</v>
      </c>
      <c r="B18" s="18" t="n">
        <f aca="false">Scenarios!C19</f>
        <v>0.088</v>
      </c>
      <c r="C18" s="18" t="n">
        <f aca="false">Scenarios!C20</f>
        <v>0.09</v>
      </c>
      <c r="D18" s="18" t="n">
        <f aca="false">Scenarios!C21</f>
        <v>0.093</v>
      </c>
      <c r="E18" s="19"/>
      <c r="F18" s="15" t="s">
        <v>24</v>
      </c>
    </row>
    <row r="19" customFormat="false" ht="15" hidden="false" customHeight="true" outlineLevel="0" collapsed="false">
      <c r="A19" s="12" t="s">
        <v>25</v>
      </c>
      <c r="B19" s="20" t="n">
        <f aca="false">Drivers!C15</f>
        <v>180</v>
      </c>
      <c r="C19" s="20" t="n">
        <f aca="false">Drivers!D15</f>
        <v>165</v>
      </c>
      <c r="D19" s="20" t="n">
        <f aca="false">Drivers!E15</f>
        <v>160</v>
      </c>
      <c r="E19" s="21"/>
      <c r="F19" s="15" t="s">
        <v>26</v>
      </c>
    </row>
    <row r="20" customFormat="false" ht="15" hidden="false" customHeight="true" outlineLevel="0" collapsed="false">
      <c r="A20" s="12" t="s">
        <v>27</v>
      </c>
      <c r="B20" s="18" t="n">
        <f aca="false">Drivers!C18</f>
        <v>0.26</v>
      </c>
      <c r="C20" s="18" t="n">
        <f aca="false">Drivers!D18</f>
        <v>0.26</v>
      </c>
      <c r="D20" s="18" t="n">
        <f aca="false">Drivers!E18</f>
        <v>0.26</v>
      </c>
      <c r="E20" s="19"/>
      <c r="F20" s="15" t="s">
        <v>28</v>
      </c>
    </row>
    <row r="21" customFormat="false" ht="27.75" hidden="false" customHeight="true" outlineLevel="0" collapsed="false">
      <c r="A21" s="8" t="s">
        <v>29</v>
      </c>
      <c r="B21" s="8"/>
      <c r="C21" s="8"/>
      <c r="D21" s="8"/>
      <c r="E21" s="8"/>
      <c r="F21" s="8"/>
    </row>
    <row r="23" customFormat="false" ht="18" hidden="false" customHeight="true" outlineLevel="0" collapsed="false">
      <c r="A23" s="7" t="str">
        <f aca="false">"3. Forecast outputs: "&amp;LOWER(Scenarios!B4)&amp;" case (live)"</f>
        <v>3. Forecast outputs: base case (live)</v>
      </c>
    </row>
    <row r="24" customFormat="false" ht="15" hidden="false" customHeight="true" outlineLevel="0" collapsed="false">
      <c r="A24" s="9" t="s">
        <v>30</v>
      </c>
      <c r="B24" s="10" t="s">
        <v>31</v>
      </c>
      <c r="C24" s="10" t="s">
        <v>9</v>
      </c>
      <c r="D24" s="10" t="s">
        <v>10</v>
      </c>
      <c r="E24" s="10" t="s">
        <v>11</v>
      </c>
      <c r="F24" s="9"/>
    </row>
    <row r="25" customFormat="false" ht="15" hidden="false" customHeight="true" outlineLevel="0" collapsed="false">
      <c r="A25" s="12" t="s">
        <v>32</v>
      </c>
      <c r="B25" s="22" t="n">
        <f aca="false">Forecast!G7</f>
        <v>2151.2</v>
      </c>
      <c r="C25" s="22" t="n">
        <f aca="false">Forecast!H7</f>
        <v>2283.5839018927</v>
      </c>
      <c r="D25" s="22" t="n">
        <f aca="false">Forecast!I7</f>
        <v>2421.09999766661</v>
      </c>
      <c r="E25" s="22" t="n">
        <f aca="false">Forecast!J7</f>
        <v>2566.82869963056</v>
      </c>
      <c r="F25" s="23"/>
    </row>
    <row r="26" customFormat="false" ht="15" hidden="false" customHeight="true" outlineLevel="0" collapsed="false">
      <c r="A26" s="12" t="s">
        <v>33</v>
      </c>
      <c r="B26" s="22" t="n">
        <f aca="false">Forecast!G24</f>
        <v>187.5</v>
      </c>
      <c r="C26" s="22" t="n">
        <f aca="false">Forecast!H24</f>
        <v>200.955383366558</v>
      </c>
      <c r="D26" s="22" t="n">
        <f aca="false">Forecast!I24</f>
        <v>217.898999789995</v>
      </c>
      <c r="E26" s="22" t="n">
        <f aca="false">Forecast!J24</f>
        <v>238.715069065642</v>
      </c>
      <c r="F26" s="23"/>
    </row>
    <row r="27" customFormat="false" ht="15" hidden="false" customHeight="true" outlineLevel="0" collapsed="false">
      <c r="A27" s="12" t="s">
        <v>34</v>
      </c>
      <c r="B27" s="22" t="n">
        <f aca="false">Forecast!G25</f>
        <v>171.9</v>
      </c>
      <c r="C27" s="22" t="n">
        <f aca="false">Forecast!H25</f>
        <v>180.238983366558</v>
      </c>
      <c r="D27" s="22" t="n">
        <f aca="false">Forecast!I25</f>
        <v>196.941531546303</v>
      </c>
      <c r="E27" s="22" t="n">
        <f aca="false">Forecast!J25</f>
        <v>217.63616146699</v>
      </c>
      <c r="F27" s="23"/>
    </row>
    <row r="28" customFormat="false" ht="15" hidden="false" customHeight="true" outlineLevel="0" collapsed="false">
      <c r="A28" s="12" t="s">
        <v>35</v>
      </c>
      <c r="B28" s="22" t="n">
        <f aca="false">Forecast!G16</f>
        <v>167.4</v>
      </c>
      <c r="C28" s="22" t="n">
        <f aca="false">Forecast!H16</f>
        <v>135.238983366558</v>
      </c>
      <c r="D28" s="22" t="n">
        <f aca="false">Forecast!I16</f>
        <v>186.941531546303</v>
      </c>
      <c r="E28" s="22" t="n">
        <f aca="false">Forecast!J16</f>
        <v>212.63616146699</v>
      </c>
      <c r="F28" s="23"/>
    </row>
    <row r="29" customFormat="false" ht="15" hidden="false" customHeight="true" outlineLevel="0" collapsed="false">
      <c r="A29" s="12" t="s">
        <v>36</v>
      </c>
      <c r="B29" s="22" t="n">
        <f aca="false">Forecast!G118</f>
        <v>-11.7</v>
      </c>
      <c r="C29" s="22" t="n">
        <f aca="false">Forecast!H118</f>
        <v>84.552805073007</v>
      </c>
      <c r="D29" s="22" t="n">
        <f aca="false">Forecast!I118</f>
        <v>91.0074838972138</v>
      </c>
      <c r="E29" s="22" t="n">
        <f aca="false">Forecast!J118</f>
        <v>134.56925275289</v>
      </c>
      <c r="F29" s="23"/>
    </row>
    <row r="30" customFormat="false" ht="15" hidden="false" customHeight="true" outlineLevel="0" collapsed="false">
      <c r="A30" s="12" t="s">
        <v>37</v>
      </c>
      <c r="B30" s="22" t="n">
        <f aca="false">Forecast!G61</f>
        <v>70.8</v>
      </c>
      <c r="C30" s="22" t="n">
        <f aca="false">Forecast!H61</f>
        <v>85.041805073007</v>
      </c>
      <c r="D30" s="22" t="n">
        <f aca="false">Forecast!I61</f>
        <v>104.332068970221</v>
      </c>
      <c r="E30" s="22" t="n">
        <f aca="false">Forecast!J61</f>
        <v>165.749757323111</v>
      </c>
      <c r="F30" s="23"/>
    </row>
    <row r="31" customFormat="false" ht="15" hidden="false" customHeight="true" outlineLevel="0" collapsed="false">
      <c r="A31" s="12" t="s">
        <v>23</v>
      </c>
      <c r="B31" s="18" t="n">
        <f aca="false">Forecast!G26</f>
        <v>0.0871606545184083</v>
      </c>
      <c r="C31" s="18" t="n">
        <f aca="false">Forecast!H26</f>
        <v>0.0880000000000001</v>
      </c>
      <c r="D31" s="18" t="n">
        <f aca="false">Forecast!I26</f>
        <v>0.09</v>
      </c>
      <c r="E31" s="18" t="n">
        <f aca="false">Forecast!J26</f>
        <v>0.0929999999999999</v>
      </c>
      <c r="F31" s="23"/>
    </row>
    <row r="33" customFormat="false" ht="18" hidden="false" customHeight="true" outlineLevel="0" collapsed="false">
      <c r="A33" s="7" t="s">
        <v>38</v>
      </c>
    </row>
    <row r="34" customFormat="false" ht="15" hidden="false" customHeight="true" outlineLevel="0" collapsed="false">
      <c r="A34" s="9" t="s">
        <v>39</v>
      </c>
      <c r="B34" s="10" t="s">
        <v>40</v>
      </c>
      <c r="C34" s="10" t="s">
        <v>41</v>
      </c>
      <c r="D34" s="10" t="s">
        <v>42</v>
      </c>
      <c r="E34" s="10" t="str">
        <f aca="false">"Live: "&amp;LOWER(Scenarios!B4)</f>
        <v>Live: base</v>
      </c>
      <c r="F34" s="11" t="s">
        <v>43</v>
      </c>
    </row>
    <row r="35" customFormat="false" ht="27.75" hidden="false" customHeight="true" outlineLevel="0" collapsed="false">
      <c r="A35" s="12" t="s">
        <v>9</v>
      </c>
      <c r="B35" s="24" t="n">
        <f aca="false">Simulation!E45</f>
        <v>162.8</v>
      </c>
      <c r="C35" s="24" t="n">
        <f aca="false">Simulation!E46</f>
        <v>180.2</v>
      </c>
      <c r="D35" s="24" t="n">
        <f aca="false">Simulation!E47</f>
        <v>197.4</v>
      </c>
      <c r="E35" s="22" t="n">
        <f aca="false">Forecast!H25</f>
        <v>180.238983366558</v>
      </c>
      <c r="F35" s="25" t="s">
        <v>44</v>
      </c>
    </row>
    <row r="36" customFormat="false" ht="15" hidden="false" customHeight="true" outlineLevel="0" collapsed="false">
      <c r="A36" s="12" t="s">
        <v>11</v>
      </c>
      <c r="B36" s="24" t="n">
        <f aca="false">Simulation!G45</f>
        <v>172.5</v>
      </c>
      <c r="C36" s="24" t="n">
        <f aca="false">Simulation!G46</f>
        <v>217.6</v>
      </c>
      <c r="D36" s="24" t="n">
        <f aca="false">Simulation!G47</f>
        <v>265</v>
      </c>
      <c r="E36" s="22" t="n">
        <f aca="false">Forecast!J25</f>
        <v>217.63616146699</v>
      </c>
      <c r="F36" s="23"/>
    </row>
    <row r="37" customFormat="false" ht="15" hidden="false" customHeight="true" outlineLevel="0" collapsed="false">
      <c r="A37" s="12" t="s">
        <v>45</v>
      </c>
      <c r="B37" s="24" t="n">
        <f aca="false">Simulation!H45</f>
        <v>56.6</v>
      </c>
      <c r="C37" s="24" t="n">
        <f aca="false">Simulation!H46</f>
        <v>85</v>
      </c>
      <c r="D37" s="24" t="n">
        <f aca="false">Simulation!H47</f>
        <v>100.2</v>
      </c>
      <c r="E37" s="22" t="n">
        <f aca="false">MIN(Forecast!H61:J61)</f>
        <v>85.041805073007</v>
      </c>
      <c r="F37" s="23"/>
    </row>
    <row r="38" customFormat="false" ht="30" hidden="false" customHeight="true" outlineLevel="0" collapsed="false">
      <c r="A38" s="26" t="s">
        <v>46</v>
      </c>
      <c r="B38" s="27"/>
      <c r="C38" s="27"/>
      <c r="D38" s="27"/>
      <c r="E38" s="28" t="n">
        <f aca="false">ROUND(MAX(ABS(E35-INDEX(B35:D35,MATCH(Scenarios!$B$4,$B$34:$D$34,0))),ABS(E36-INDEX(B36:D36,MATCH(Scenarios!$B$4,$B$34:$D$34,0))),ABS(E37-INDEX(B37:D37,MATCH(Scenarios!$B$4,$B$34:$D$34,0)))),1)</f>
        <v>0</v>
      </c>
      <c r="F38" s="25" t="s">
        <v>47</v>
      </c>
    </row>
    <row r="39" customFormat="false" ht="15" hidden="false" customHeight="true" outlineLevel="0" collapsed="false">
      <c r="A39" s="9" t="s">
        <v>48</v>
      </c>
      <c r="B39" s="10" t="s">
        <v>49</v>
      </c>
      <c r="C39" s="10" t="s">
        <v>50</v>
      </c>
      <c r="D39" s="10" t="s">
        <v>51</v>
      </c>
      <c r="E39" s="10"/>
      <c r="F39" s="9"/>
    </row>
    <row r="40" customFormat="false" ht="15" hidden="false" customHeight="true" outlineLevel="0" collapsed="false">
      <c r="A40" s="12" t="s">
        <v>52</v>
      </c>
      <c r="B40" s="24" t="n">
        <f aca="false">Simulation!C9</f>
        <v>169.8</v>
      </c>
      <c r="C40" s="24" t="n">
        <f aca="false">Simulation!E9</f>
        <v>179.9</v>
      </c>
      <c r="D40" s="24" t="n">
        <f aca="false">Simulation!G9</f>
        <v>189.9</v>
      </c>
      <c r="E40" s="29"/>
      <c r="F40" s="23"/>
    </row>
    <row r="41" customFormat="false" ht="15" hidden="false" customHeight="true" outlineLevel="0" collapsed="false">
      <c r="A41" s="12" t="s">
        <v>53</v>
      </c>
      <c r="B41" s="24" t="n">
        <f aca="false">Simulation!C11</f>
        <v>193</v>
      </c>
      <c r="C41" s="24" t="n">
        <f aca="false">Simulation!E11</f>
        <v>216.1</v>
      </c>
      <c r="D41" s="24" t="n">
        <f aca="false">Simulation!G11</f>
        <v>239.6</v>
      </c>
      <c r="E41" s="29"/>
      <c r="F41" s="23"/>
    </row>
    <row r="42" customFormat="false" ht="15" hidden="false" customHeight="true" outlineLevel="0" collapsed="false">
      <c r="A42" s="12" t="s">
        <v>54</v>
      </c>
      <c r="B42" s="30" t="n">
        <f aca="false">Simulation!G24</f>
        <v>0.898</v>
      </c>
      <c r="C42" s="17"/>
      <c r="D42" s="17"/>
      <c r="E42" s="17"/>
      <c r="F42" s="23"/>
    </row>
    <row r="43" customFormat="false" ht="43.5" hidden="false" customHeight="true" outlineLevel="0" collapsed="false">
      <c r="A43" s="8" t="s">
        <v>55</v>
      </c>
      <c r="B43" s="8"/>
      <c r="C43" s="8"/>
      <c r="D43" s="8"/>
      <c r="E43" s="8"/>
      <c r="F43" s="8"/>
    </row>
    <row r="45" customFormat="false" ht="18" hidden="false" customHeight="true" outlineLevel="0" collapsed="false">
      <c r="A45" s="7" t="s">
        <v>56</v>
      </c>
    </row>
    <row r="46" customFormat="false" ht="15" hidden="false" customHeight="true" outlineLevel="0" collapsed="false">
      <c r="A46" s="9" t="s">
        <v>30</v>
      </c>
      <c r="B46" s="10" t="s">
        <v>9</v>
      </c>
      <c r="C46" s="10" t="s">
        <v>10</v>
      </c>
      <c r="D46" s="10" t="s">
        <v>11</v>
      </c>
      <c r="E46" s="10"/>
      <c r="F46" s="9"/>
    </row>
    <row r="47" customFormat="false" ht="15" hidden="false" customHeight="true" outlineLevel="0" collapsed="false">
      <c r="A47" s="12" t="str">
        <f aca="false">Simulation!A51</f>
        <v>LFL growth +1 point</v>
      </c>
      <c r="B47" s="31" t="n">
        <f aca="false">Simulation!B51</f>
        <v>1.7</v>
      </c>
      <c r="C47" s="31" t="n">
        <f aca="false">Simulation!C51</f>
        <v>3.8</v>
      </c>
      <c r="D47" s="31" t="n">
        <f aca="false">Simulation!D51</f>
        <v>6.3</v>
      </c>
      <c r="E47" s="32"/>
      <c r="F47" s="23"/>
    </row>
    <row r="48" customFormat="false" ht="15" hidden="false" customHeight="true" outlineLevel="0" collapsed="false">
      <c r="A48" s="12" t="str">
        <f aca="false">Simulation!A52</f>
        <v>LFL growth −1 point</v>
      </c>
      <c r="B48" s="31" t="n">
        <f aca="false">Simulation!B52</f>
        <v>-1.7</v>
      </c>
      <c r="C48" s="31" t="n">
        <f aca="false">Simulation!C52</f>
        <v>-3.8</v>
      </c>
      <c r="D48" s="31" t="n">
        <f aca="false">Simulation!D52</f>
        <v>-6.2</v>
      </c>
      <c r="E48" s="32"/>
      <c r="F48" s="23"/>
    </row>
    <row r="49" customFormat="false" ht="15" hidden="false" customHeight="true" outlineLevel="0" collapsed="false">
      <c r="A49" s="12" t="str">
        <f aca="false">Simulation!A53</f>
        <v>Operating margin +1 point</v>
      </c>
      <c r="B49" s="31" t="n">
        <f aca="false">Simulation!B53</f>
        <v>22.8</v>
      </c>
      <c r="C49" s="31" t="n">
        <f aca="false">Simulation!C53</f>
        <v>24.7</v>
      </c>
      <c r="D49" s="31" t="n">
        <f aca="false">Simulation!D53</f>
        <v>26.7</v>
      </c>
      <c r="E49" s="32"/>
      <c r="F49" s="23"/>
    </row>
    <row r="50" customFormat="false" ht="15" hidden="false" customHeight="true" outlineLevel="0" collapsed="false">
      <c r="A50" s="12" t="str">
        <f aca="false">Simulation!A54</f>
        <v>Operating margin −1 point</v>
      </c>
      <c r="B50" s="31" t="n">
        <f aca="false">Simulation!B54</f>
        <v>-22.8</v>
      </c>
      <c r="C50" s="31" t="n">
        <f aca="false">Simulation!C54</f>
        <v>-24.7</v>
      </c>
      <c r="D50" s="31" t="n">
        <f aca="false">Simulation!D54</f>
        <v>-26.7</v>
      </c>
      <c r="E50" s="32"/>
      <c r="F50" s="23"/>
    </row>
    <row r="51" customFormat="false" ht="55.5" hidden="false" customHeight="true" outlineLevel="0" collapsed="false">
      <c r="A51" s="8" t="s">
        <v>57</v>
      </c>
      <c r="B51" s="8"/>
      <c r="C51" s="8"/>
      <c r="D51" s="8"/>
      <c r="E51" s="8"/>
      <c r="F51" s="8"/>
    </row>
    <row r="53" customFormat="false" ht="18" hidden="false" customHeight="true" outlineLevel="0" collapsed="false">
      <c r="A53" s="7" t="s">
        <v>58</v>
      </c>
    </row>
    <row r="54" customFormat="false" ht="15" hidden="false" customHeight="true" outlineLevel="0" collapsed="false">
      <c r="A54" s="9" t="s">
        <v>30</v>
      </c>
      <c r="B54" s="10" t="s">
        <v>59</v>
      </c>
      <c r="C54" s="10"/>
      <c r="D54" s="10"/>
      <c r="E54" s="10"/>
      <c r="F54" s="9"/>
    </row>
    <row r="55" customFormat="false" ht="15" hidden="false" customHeight="true" outlineLevel="0" collapsed="false">
      <c r="A55" s="12" t="s">
        <v>60</v>
      </c>
      <c r="B55" s="22" t="n">
        <f aca="false">Variance!B16</f>
        <v>1888.77225035014</v>
      </c>
      <c r="C55" s="29"/>
      <c r="D55" s="29"/>
      <c r="E55" s="29"/>
      <c r="F55" s="23"/>
    </row>
    <row r="56" customFormat="false" ht="15" hidden="false" customHeight="true" outlineLevel="0" collapsed="false">
      <c r="A56" s="12" t="s">
        <v>61</v>
      </c>
      <c r="B56" s="22" t="n">
        <f aca="false">Variance!B17</f>
        <v>1897.2</v>
      </c>
      <c r="C56" s="29"/>
      <c r="D56" s="29"/>
      <c r="E56" s="29"/>
      <c r="F56" s="23"/>
    </row>
    <row r="57" customFormat="false" ht="15" hidden="false" customHeight="true" outlineLevel="0" collapsed="false">
      <c r="A57" s="12" t="s">
        <v>62</v>
      </c>
      <c r="B57" s="18" t="n">
        <f aca="false">Variance!B19</f>
        <v>0.00444220411652079</v>
      </c>
      <c r="C57" s="19"/>
      <c r="D57" s="19"/>
      <c r="E57" s="19"/>
      <c r="F57" s="23"/>
    </row>
    <row r="58" customFormat="false" ht="15" hidden="false" customHeight="true" outlineLevel="0" collapsed="false">
      <c r="A58" s="12" t="s">
        <v>63</v>
      </c>
      <c r="B58" s="16" t="n">
        <f aca="false">Variance!B20</f>
        <v>0.961388985373251</v>
      </c>
      <c r="C58" s="17"/>
      <c r="D58" s="17"/>
      <c r="E58" s="17"/>
      <c r="F58" s="23"/>
    </row>
    <row r="59" customFormat="false" ht="43.5" hidden="false" customHeight="true" outlineLevel="0" collapsed="false">
      <c r="A59" s="8" t="s">
        <v>64</v>
      </c>
      <c r="B59" s="8"/>
      <c r="C59" s="8"/>
      <c r="D59" s="8"/>
      <c r="E59" s="8"/>
      <c r="F59" s="8"/>
    </row>
    <row r="61" customFormat="false" ht="18" hidden="false" customHeight="true" outlineLevel="0" collapsed="false">
      <c r="A61" s="7" t="s">
        <v>65</v>
      </c>
    </row>
    <row r="62" customFormat="false" ht="69.75" hidden="false" customHeight="true" outlineLevel="0" collapsed="false">
      <c r="A62" s="8" t="s">
        <v>66</v>
      </c>
      <c r="B62" s="8"/>
      <c r="C62" s="8"/>
      <c r="D62" s="8"/>
      <c r="E62" s="8"/>
      <c r="F62" s="8"/>
    </row>
    <row r="64" customFormat="false" ht="18" hidden="false" customHeight="true" outlineLevel="0" collapsed="false">
      <c r="A64" s="7" t="s">
        <v>67</v>
      </c>
    </row>
    <row r="65" customFormat="false" ht="69.75" hidden="false" customHeight="true" outlineLevel="0" collapsed="false">
      <c r="A65" s="8" t="s">
        <v>68</v>
      </c>
      <c r="B65" s="8"/>
      <c r="C65" s="8"/>
      <c r="D65" s="8"/>
      <c r="E65" s="8"/>
      <c r="F65" s="8"/>
    </row>
    <row r="67" customFormat="false" ht="18" hidden="false" customHeight="true" outlineLevel="0" collapsed="false">
      <c r="A67" s="7" t="s">
        <v>69</v>
      </c>
    </row>
    <row r="68" customFormat="false" ht="43.5" hidden="false" customHeight="true" outlineLevel="0" collapsed="false">
      <c r="A68" s="33" t="str">
        <f aca="false">"1. "&amp;Simulation!B58</f>
        <v>1. On the chosen ranges and correlations, FY26 underlying profit beats FY25's £171.9m in about 90% of 10,000 runs (P5–P95: £170m–£190m). That makes growth the most likely outcome under these inputs, not a certainty: the probability depends on the ranges set, and a shock outside them is not captured.</v>
      </c>
      <c r="B68" s="33"/>
      <c r="C68" s="33"/>
      <c r="D68" s="33"/>
      <c r="E68" s="33"/>
      <c r="F68" s="33"/>
    </row>
    <row r="69" customFormat="false" ht="43.5" hidden="false" customHeight="true" outlineLevel="0" collapsed="false">
      <c r="A69" s="33" t="str">
        <f aca="false">"2. "&amp;Simulation!B59</f>
        <v>2. Cash stays positive in every simulated run and falls below £50m in about 1% of runs. On these assumptions, falling capex lets Greggs fund openings, restructuring and dividends without new debt, after negative free cash flow in FY25.</v>
      </c>
      <c r="B69" s="33"/>
      <c r="C69" s="33"/>
      <c r="D69" s="33"/>
      <c r="E69" s="33"/>
      <c r="F69" s="33"/>
    </row>
    <row r="70" customFormat="false" ht="43.5" hidden="false" customHeight="true" outlineLevel="0" collapsed="false">
      <c r="A70" s="33" t="str">
        <f aca="false">"3. "&amp;Simulation!B60</f>
        <v>3. I would watch like-for-like growth. Margin moves FY28 profit most (a £53m swing across its range), but LFL moves it £23m directly and, through its 0.5 correlation with margin in the simulation, pulls margin with it. LFL has slowed from 17.8% in FY22 to 2.4% in FY25.</v>
      </c>
      <c r="B70" s="33"/>
      <c r="C70" s="33"/>
      <c r="D70" s="33"/>
      <c r="E70" s="33"/>
      <c r="F70" s="33"/>
    </row>
  </sheetData>
  <mergeCells count="14">
    <mergeCell ref="A2:F2"/>
    <mergeCell ref="A4:F4"/>
    <mergeCell ref="A5:F5"/>
    <mergeCell ref="A6:F6"/>
    <mergeCell ref="A9:F9"/>
    <mergeCell ref="A21:F21"/>
    <mergeCell ref="A43:F43"/>
    <mergeCell ref="A51:F51"/>
    <mergeCell ref="A59:F59"/>
    <mergeCell ref="A62:F62"/>
    <mergeCell ref="A65:F65"/>
    <mergeCell ref="A68:F68"/>
    <mergeCell ref="A69:F69"/>
    <mergeCell ref="A70:F70"/>
  </mergeCells>
  <conditionalFormatting sqref="E38">
    <cfRule type="expression" priority="2" aboveAverage="0" equalAverage="0" bottom="0" percent="0" rank="0" text="" dxfId="0">
      <formula>E38=0</formula>
    </cfRule>
    <cfRule type="expression" priority="3" aboveAverage="0" equalAverage="0" bottom="0" percent="0" rank="0" text="" dxfId="1">
      <formula>E38&lt;&gt;0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30"/>
    <col collapsed="false" customWidth="true" hidden="false" outlineLevel="0" max="2" min="2" style="1" width="45"/>
    <col collapsed="false" customWidth="true" hidden="false" outlineLevel="0" max="3" min="3" style="1" width="12"/>
    <col collapsed="false" customWidth="true" hidden="false" outlineLevel="0" max="4" min="4" style="1" width="60"/>
    <col collapsed="false" customWidth="true" hidden="false" outlineLevel="0" max="5" min="5" style="1" width="4"/>
  </cols>
  <sheetData>
    <row r="1" customFormat="false" ht="21.75" hidden="false" customHeight="true" outlineLevel="0" collapsed="false">
      <c r="A1" s="34" t="s">
        <v>70</v>
      </c>
      <c r="B1" s="35"/>
      <c r="C1" s="35"/>
      <c r="D1" s="35"/>
      <c r="E1" s="35"/>
    </row>
    <row r="2" customFormat="false" ht="16.5" hidden="false" customHeight="true" outlineLevel="0" collapsed="false">
      <c r="A2" s="3" t="s">
        <v>71</v>
      </c>
      <c r="B2" s="3"/>
      <c r="C2" s="3"/>
      <c r="D2" s="3"/>
      <c r="E2" s="3"/>
    </row>
    <row r="3" customFormat="false" ht="15" hidden="false" customHeight="true" outlineLevel="0" collapsed="false">
      <c r="A3" s="35"/>
      <c r="B3" s="35"/>
      <c r="C3" s="35"/>
      <c r="D3" s="35"/>
      <c r="E3" s="35"/>
    </row>
    <row r="4" customFormat="false" ht="45.75" hidden="false" customHeight="true" outlineLevel="0" collapsed="false">
      <c r="A4" s="36" t="s">
        <v>72</v>
      </c>
      <c r="B4" s="37" t="s">
        <v>73</v>
      </c>
      <c r="C4" s="37"/>
      <c r="D4" s="37"/>
      <c r="E4" s="37"/>
    </row>
    <row r="5" customFormat="false" ht="15" hidden="false" customHeight="true" outlineLevel="0" collapsed="false">
      <c r="A5" s="35"/>
      <c r="B5" s="35"/>
      <c r="C5" s="35"/>
      <c r="D5" s="35"/>
      <c r="E5" s="35"/>
    </row>
    <row r="6" customFormat="false" ht="15" hidden="false" customHeight="true" outlineLevel="0" collapsed="false">
      <c r="A6" s="38" t="s">
        <v>74</v>
      </c>
      <c r="B6" s="35"/>
      <c r="C6" s="35"/>
      <c r="D6" s="35"/>
      <c r="E6" s="35"/>
    </row>
    <row r="7" customFormat="false" ht="31.5" hidden="false" customHeight="true" outlineLevel="0" collapsed="false">
      <c r="A7" s="39" t="s">
        <v>75</v>
      </c>
      <c r="B7" s="40" t="s">
        <v>76</v>
      </c>
      <c r="C7" s="35"/>
      <c r="D7" s="35"/>
      <c r="E7" s="35"/>
    </row>
    <row r="8" customFormat="false" ht="18" hidden="false" customHeight="true" outlineLevel="0" collapsed="false">
      <c r="A8" s="41" t="s">
        <v>77</v>
      </c>
      <c r="B8" s="40" t="s">
        <v>78</v>
      </c>
      <c r="C8" s="35"/>
      <c r="D8" s="35"/>
      <c r="E8" s="35"/>
    </row>
    <row r="9" customFormat="false" ht="18" hidden="false" customHeight="true" outlineLevel="0" collapsed="false">
      <c r="A9" s="42" t="s">
        <v>79</v>
      </c>
      <c r="B9" s="40" t="s">
        <v>80</v>
      </c>
      <c r="C9" s="35"/>
      <c r="D9" s="35"/>
      <c r="E9" s="35"/>
    </row>
    <row r="10" customFormat="false" ht="18" hidden="false" customHeight="true" outlineLevel="0" collapsed="false">
      <c r="A10" s="43" t="s">
        <v>81</v>
      </c>
      <c r="B10" s="40" t="s">
        <v>82</v>
      </c>
      <c r="C10" s="35"/>
      <c r="D10" s="35"/>
      <c r="E10" s="35"/>
    </row>
    <row r="11" customFormat="false" ht="15" hidden="false" customHeight="true" outlineLevel="0" collapsed="false">
      <c r="A11" s="41"/>
      <c r="B11" s="41"/>
      <c r="C11" s="35"/>
      <c r="D11" s="35"/>
      <c r="E11" s="35"/>
    </row>
    <row r="12" customFormat="false" ht="15" hidden="false" customHeight="true" outlineLevel="0" collapsed="false">
      <c r="A12" s="35"/>
      <c r="B12" s="35"/>
      <c r="C12" s="35"/>
      <c r="D12" s="35"/>
      <c r="E12" s="35"/>
    </row>
    <row r="13" customFormat="false" ht="15" hidden="false" customHeight="true" outlineLevel="0" collapsed="false">
      <c r="A13" s="35"/>
      <c r="B13" s="35"/>
      <c r="C13" s="35"/>
      <c r="D13" s="35"/>
      <c r="E13" s="35"/>
    </row>
    <row r="14" customFormat="false" ht="15" hidden="false" customHeight="true" outlineLevel="0" collapsed="false">
      <c r="A14" s="38" t="s">
        <v>83</v>
      </c>
      <c r="B14" s="35"/>
      <c r="C14" s="35"/>
      <c r="D14" s="35"/>
      <c r="E14" s="35"/>
    </row>
    <row r="15" customFormat="false" ht="18" hidden="false" customHeight="true" outlineLevel="0" collapsed="false">
      <c r="A15" s="41" t="s">
        <v>84</v>
      </c>
      <c r="B15" s="44" t="s">
        <v>85</v>
      </c>
      <c r="C15" s="44"/>
      <c r="D15" s="44"/>
      <c r="E15" s="44"/>
    </row>
    <row r="16" customFormat="false" ht="18" hidden="false" customHeight="true" outlineLevel="0" collapsed="false">
      <c r="A16" s="41" t="s">
        <v>86</v>
      </c>
      <c r="B16" s="44" t="s">
        <v>87</v>
      </c>
      <c r="C16" s="44"/>
      <c r="D16" s="44"/>
      <c r="E16" s="44"/>
    </row>
    <row r="17" customFormat="false" ht="18" hidden="false" customHeight="true" outlineLevel="0" collapsed="false">
      <c r="A17" s="41" t="s">
        <v>32</v>
      </c>
      <c r="B17" s="44" t="s">
        <v>88</v>
      </c>
      <c r="C17" s="44"/>
      <c r="D17" s="44"/>
      <c r="E17" s="44"/>
    </row>
    <row r="18" customFormat="false" ht="18" hidden="false" customHeight="true" outlineLevel="0" collapsed="false">
      <c r="A18" s="41" t="s">
        <v>89</v>
      </c>
      <c r="B18" s="44" t="s">
        <v>90</v>
      </c>
      <c r="C18" s="44"/>
      <c r="D18" s="44"/>
      <c r="E18" s="44"/>
    </row>
    <row r="19" customFormat="false" ht="18" hidden="false" customHeight="true" outlineLevel="0" collapsed="false">
      <c r="A19" s="41" t="s">
        <v>91</v>
      </c>
      <c r="B19" s="44" t="s">
        <v>92</v>
      </c>
      <c r="C19" s="44"/>
      <c r="D19" s="44"/>
      <c r="E19" s="44"/>
    </row>
    <row r="20" customFormat="false" ht="18" hidden="false" customHeight="true" outlineLevel="0" collapsed="false">
      <c r="A20" s="41" t="s">
        <v>93</v>
      </c>
      <c r="B20" s="44" t="s">
        <v>94</v>
      </c>
      <c r="C20" s="44"/>
      <c r="D20" s="44"/>
      <c r="E20" s="44"/>
    </row>
    <row r="21" customFormat="false" ht="31.5" hidden="false" customHeight="true" outlineLevel="0" collapsed="false">
      <c r="A21" s="41" t="s">
        <v>95</v>
      </c>
      <c r="B21" s="44" t="s">
        <v>96</v>
      </c>
      <c r="C21" s="44"/>
      <c r="D21" s="44"/>
      <c r="E21" s="44"/>
    </row>
    <row r="22" customFormat="false" ht="18" hidden="false" customHeight="true" outlineLevel="0" collapsed="false">
      <c r="A22" s="41" t="s">
        <v>97</v>
      </c>
      <c r="B22" s="44" t="s">
        <v>98</v>
      </c>
      <c r="C22" s="44"/>
      <c r="D22" s="44"/>
      <c r="E22" s="44"/>
    </row>
    <row r="23" customFormat="false" ht="18" hidden="false" customHeight="true" outlineLevel="0" collapsed="false">
      <c r="A23" s="41" t="s">
        <v>99</v>
      </c>
      <c r="B23" s="44" t="s">
        <v>100</v>
      </c>
      <c r="C23" s="44"/>
      <c r="D23" s="44"/>
      <c r="E23" s="44"/>
    </row>
    <row r="24" customFormat="false" ht="18" hidden="false" customHeight="true" outlineLevel="0" collapsed="false">
      <c r="A24" s="41" t="s">
        <v>101</v>
      </c>
      <c r="B24" s="44" t="s">
        <v>102</v>
      </c>
      <c r="C24" s="44"/>
      <c r="D24" s="44"/>
      <c r="E24" s="44"/>
    </row>
    <row r="25" customFormat="false" ht="15" hidden="false" customHeight="true" outlineLevel="0" collapsed="false">
      <c r="A25" s="38" t="s">
        <v>103</v>
      </c>
      <c r="B25" s="35"/>
      <c r="C25" s="35"/>
      <c r="D25" s="35"/>
      <c r="E25" s="35"/>
    </row>
    <row r="26" customFormat="false" ht="18" hidden="false" customHeight="true" outlineLevel="0" collapsed="false">
      <c r="A26" s="41" t="s">
        <v>104</v>
      </c>
      <c r="B26" s="44" t="s">
        <v>105</v>
      </c>
      <c r="C26" s="44"/>
      <c r="D26" s="44"/>
      <c r="E26" s="44"/>
    </row>
    <row r="27" customFormat="false" ht="18" hidden="false" customHeight="true" outlineLevel="0" collapsed="false">
      <c r="A27" s="41" t="s">
        <v>106</v>
      </c>
      <c r="B27" s="44" t="s">
        <v>107</v>
      </c>
      <c r="C27" s="44"/>
      <c r="D27" s="44"/>
      <c r="E27" s="44"/>
    </row>
    <row r="28" customFormat="false" ht="18" hidden="false" customHeight="true" outlineLevel="0" collapsed="false">
      <c r="A28" s="41" t="s">
        <v>108</v>
      </c>
      <c r="B28" s="44" t="s">
        <v>109</v>
      </c>
      <c r="C28" s="44"/>
      <c r="D28" s="44"/>
      <c r="E28" s="44"/>
    </row>
    <row r="29" customFormat="false" ht="18" hidden="false" customHeight="true" outlineLevel="0" collapsed="false">
      <c r="A29" s="41" t="s">
        <v>110</v>
      </c>
      <c r="B29" s="44" t="s">
        <v>111</v>
      </c>
      <c r="C29" s="44"/>
      <c r="D29" s="44"/>
      <c r="E29" s="44"/>
    </row>
    <row r="30" customFormat="false" ht="18" hidden="false" customHeight="true" outlineLevel="0" collapsed="false">
      <c r="A30" s="41" t="s">
        <v>112</v>
      </c>
      <c r="B30" s="44" t="s">
        <v>113</v>
      </c>
      <c r="C30" s="44"/>
      <c r="D30" s="44"/>
      <c r="E30" s="44"/>
    </row>
    <row r="31" customFormat="false" ht="18" hidden="false" customHeight="true" outlineLevel="0" collapsed="false">
      <c r="A31" s="41" t="s">
        <v>114</v>
      </c>
      <c r="B31" s="44" t="s">
        <v>115</v>
      </c>
      <c r="C31" s="44"/>
      <c r="D31" s="44"/>
      <c r="E31" s="44"/>
    </row>
    <row r="32" customFormat="false" ht="31.5" hidden="false" customHeight="true" outlineLevel="0" collapsed="false">
      <c r="A32" s="41" t="s">
        <v>116</v>
      </c>
      <c r="B32" s="44" t="s">
        <v>117</v>
      </c>
      <c r="C32" s="44"/>
      <c r="D32" s="44"/>
      <c r="E32" s="44"/>
    </row>
    <row r="33" customFormat="false" ht="15" hidden="false" customHeight="true" outlineLevel="0" collapsed="false">
      <c r="A33" s="41" t="s">
        <v>118</v>
      </c>
      <c r="B33" s="44" t="s">
        <v>119</v>
      </c>
      <c r="C33" s="44"/>
      <c r="D33" s="44"/>
      <c r="E33" s="44"/>
    </row>
    <row r="34" customFormat="false" ht="30" hidden="false" customHeight="true" outlineLevel="0" collapsed="false">
      <c r="A34" s="41" t="s">
        <v>120</v>
      </c>
      <c r="B34" s="44" t="s">
        <v>121</v>
      </c>
      <c r="C34" s="44"/>
      <c r="D34" s="44"/>
      <c r="E34" s="44"/>
    </row>
    <row r="35" customFormat="false" ht="15" hidden="false" customHeight="true" outlineLevel="0" collapsed="false">
      <c r="A35" s="38" t="s">
        <v>122</v>
      </c>
      <c r="B35" s="35"/>
      <c r="C35" s="35"/>
      <c r="D35" s="35"/>
      <c r="E35" s="35"/>
    </row>
    <row r="36" customFormat="false" ht="31.5" hidden="false" customHeight="true" outlineLevel="0" collapsed="false">
      <c r="A36" s="41" t="s">
        <v>123</v>
      </c>
      <c r="B36" s="44" t="s">
        <v>124</v>
      </c>
      <c r="C36" s="44"/>
      <c r="D36" s="44"/>
      <c r="E36" s="44"/>
    </row>
    <row r="37" customFormat="false" ht="31.5" hidden="false" customHeight="true" outlineLevel="0" collapsed="false">
      <c r="A37" s="41" t="s">
        <v>125</v>
      </c>
      <c r="B37" s="44" t="s">
        <v>126</v>
      </c>
      <c r="C37" s="44"/>
      <c r="D37" s="44"/>
      <c r="E37" s="44"/>
    </row>
    <row r="38" customFormat="false" ht="31.5" hidden="false" customHeight="true" outlineLevel="0" collapsed="false">
      <c r="A38" s="41" t="s">
        <v>127</v>
      </c>
      <c r="B38" s="44" t="s">
        <v>128</v>
      </c>
      <c r="C38" s="44"/>
      <c r="D38" s="44"/>
      <c r="E38" s="44"/>
    </row>
    <row r="39" customFormat="false" ht="18" hidden="false" customHeight="true" outlineLevel="0" collapsed="false">
      <c r="A39" s="41" t="s">
        <v>129</v>
      </c>
      <c r="B39" s="44" t="s">
        <v>130</v>
      </c>
      <c r="C39" s="44"/>
      <c r="D39" s="44"/>
      <c r="E39" s="44"/>
    </row>
    <row r="40" customFormat="false" ht="18" hidden="false" customHeight="true" outlineLevel="0" collapsed="false">
      <c r="A40" s="41" t="s">
        <v>131</v>
      </c>
      <c r="B40" s="44" t="s">
        <v>132</v>
      </c>
      <c r="C40" s="44"/>
      <c r="D40" s="44"/>
      <c r="E40" s="44"/>
    </row>
    <row r="41" customFormat="false" ht="31.5" hidden="false" customHeight="true" outlineLevel="0" collapsed="false">
      <c r="A41" s="41" t="s">
        <v>133</v>
      </c>
      <c r="B41" s="44" t="s">
        <v>134</v>
      </c>
      <c r="C41" s="44"/>
      <c r="D41" s="44"/>
      <c r="E41" s="44"/>
    </row>
    <row r="42" customFormat="false" ht="31.5" hidden="false" customHeight="true" outlineLevel="0" collapsed="false">
      <c r="A42" s="41" t="s">
        <v>135</v>
      </c>
      <c r="B42" s="44" t="s">
        <v>136</v>
      </c>
      <c r="C42" s="44"/>
      <c r="D42" s="44"/>
      <c r="E42" s="44"/>
    </row>
    <row r="43" customFormat="false" ht="15" hidden="false" customHeight="true" outlineLevel="0" collapsed="false">
      <c r="A43" s="38" t="s">
        <v>137</v>
      </c>
      <c r="B43" s="35"/>
      <c r="C43" s="35"/>
      <c r="D43" s="35"/>
      <c r="E43" s="35"/>
    </row>
    <row r="44" customFormat="false" ht="31.5" hidden="false" customHeight="true" outlineLevel="0" collapsed="false">
      <c r="A44" s="41" t="s">
        <v>138</v>
      </c>
      <c r="B44" s="44" t="s">
        <v>139</v>
      </c>
      <c r="C44" s="44"/>
      <c r="D44" s="44"/>
      <c r="E44" s="44"/>
    </row>
    <row r="45" customFormat="false" ht="31.5" hidden="false" customHeight="true" outlineLevel="0" collapsed="false">
      <c r="A45" s="41" t="s">
        <v>140</v>
      </c>
      <c r="B45" s="44" t="s">
        <v>141</v>
      </c>
      <c r="C45" s="44"/>
      <c r="D45" s="44"/>
      <c r="E45" s="44"/>
    </row>
    <row r="46" customFormat="false" ht="18" hidden="false" customHeight="true" outlineLevel="0" collapsed="false">
      <c r="A46" s="41" t="s">
        <v>142</v>
      </c>
      <c r="B46" s="44" t="s">
        <v>143</v>
      </c>
      <c r="C46" s="44"/>
      <c r="D46" s="44"/>
      <c r="E46" s="44"/>
    </row>
    <row r="47" customFormat="false" ht="31.5" hidden="false" customHeight="true" outlineLevel="0" collapsed="false">
      <c r="A47" s="41" t="s">
        <v>144</v>
      </c>
      <c r="B47" s="44" t="s">
        <v>145</v>
      </c>
      <c r="C47" s="44"/>
      <c r="D47" s="44"/>
      <c r="E47" s="44"/>
    </row>
    <row r="48" customFormat="false" ht="49.5" hidden="false" customHeight="true" outlineLevel="0" collapsed="false">
      <c r="A48" s="36" t="s">
        <v>146</v>
      </c>
      <c r="B48" s="45" t="s">
        <v>147</v>
      </c>
      <c r="C48" s="45"/>
      <c r="D48" s="45"/>
      <c r="E48" s="45"/>
    </row>
    <row r="49" customFormat="false" ht="15" hidden="false" customHeight="true" outlineLevel="0" collapsed="false">
      <c r="A49" s="35"/>
      <c r="B49" s="35"/>
      <c r="C49" s="35"/>
      <c r="D49" s="35"/>
      <c r="E49" s="35"/>
    </row>
    <row r="50" customFormat="false" ht="15" hidden="false" customHeight="true" outlineLevel="0" collapsed="false">
      <c r="A50" s="38" t="s">
        <v>148</v>
      </c>
      <c r="B50" s="35"/>
      <c r="C50" s="35"/>
      <c r="D50" s="35"/>
      <c r="E50" s="35"/>
    </row>
    <row r="51" customFormat="false" ht="18" hidden="false" customHeight="true" outlineLevel="0" collapsed="false">
      <c r="A51" s="46" t="s">
        <v>149</v>
      </c>
      <c r="B51" s="47" t="s">
        <v>59</v>
      </c>
      <c r="C51" s="47" t="s">
        <v>150</v>
      </c>
      <c r="D51" s="47" t="s">
        <v>151</v>
      </c>
      <c r="E51" s="48"/>
    </row>
    <row r="52" customFormat="false" ht="31.5" hidden="false" customHeight="true" outlineLevel="0" collapsed="false">
      <c r="A52" s="49" t="s">
        <v>152</v>
      </c>
      <c r="B52" s="50" t="s">
        <v>153</v>
      </c>
      <c r="C52" s="49" t="s">
        <v>154</v>
      </c>
      <c r="D52" s="49" t="s">
        <v>155</v>
      </c>
      <c r="E52" s="51"/>
    </row>
    <row r="53" customFormat="false" ht="31.5" hidden="false" customHeight="true" outlineLevel="0" collapsed="false">
      <c r="A53" s="49" t="s">
        <v>13</v>
      </c>
      <c r="B53" s="49" t="s">
        <v>156</v>
      </c>
      <c r="C53" s="49" t="s">
        <v>157</v>
      </c>
      <c r="D53" s="49" t="s">
        <v>158</v>
      </c>
      <c r="E53" s="35"/>
    </row>
    <row r="54" customFormat="false" ht="31.5" hidden="false" customHeight="true" outlineLevel="0" collapsed="false">
      <c r="A54" s="49" t="s">
        <v>15</v>
      </c>
      <c r="B54" s="49" t="s">
        <v>159</v>
      </c>
      <c r="C54" s="49" t="s">
        <v>154</v>
      </c>
      <c r="D54" s="49" t="s">
        <v>160</v>
      </c>
    </row>
    <row r="55" customFormat="false" ht="18" hidden="false" customHeight="true" outlineLevel="0" collapsed="false">
      <c r="A55" s="49" t="s">
        <v>161</v>
      </c>
      <c r="B55" s="49" t="s">
        <v>162</v>
      </c>
      <c r="C55" s="49" t="s">
        <v>157</v>
      </c>
      <c r="D55" s="49" t="s">
        <v>163</v>
      </c>
    </row>
    <row r="56" customFormat="false" ht="31.5" hidden="false" customHeight="true" outlineLevel="0" collapsed="false">
      <c r="A56" s="49" t="s">
        <v>19</v>
      </c>
      <c r="B56" s="49" t="s">
        <v>164</v>
      </c>
      <c r="C56" s="49" t="s">
        <v>154</v>
      </c>
      <c r="D56" s="49" t="s">
        <v>165</v>
      </c>
    </row>
    <row r="57" customFormat="false" ht="31.5" hidden="false" customHeight="true" outlineLevel="0" collapsed="false">
      <c r="A57" s="49" t="s">
        <v>166</v>
      </c>
      <c r="B57" s="49" t="s">
        <v>167</v>
      </c>
      <c r="C57" s="49" t="s">
        <v>154</v>
      </c>
      <c r="D57" s="49" t="s">
        <v>168</v>
      </c>
    </row>
    <row r="58" customFormat="false" ht="31.5" hidden="false" customHeight="true" outlineLevel="0" collapsed="false">
      <c r="A58" s="49" t="s">
        <v>169</v>
      </c>
      <c r="B58" s="49" t="s">
        <v>170</v>
      </c>
      <c r="C58" s="49" t="s">
        <v>157</v>
      </c>
      <c r="D58" s="49" t="s">
        <v>171</v>
      </c>
    </row>
    <row r="59" customFormat="false" ht="31.5" hidden="false" customHeight="true" outlineLevel="0" collapsed="false">
      <c r="A59" s="49" t="s">
        <v>23</v>
      </c>
      <c r="B59" s="49" t="s">
        <v>172</v>
      </c>
      <c r="C59" s="49" t="s">
        <v>157</v>
      </c>
      <c r="D59" s="49" t="s">
        <v>173</v>
      </c>
    </row>
    <row r="60" customFormat="false" ht="31.5" hidden="false" customHeight="true" outlineLevel="0" collapsed="false">
      <c r="A60" s="49" t="s">
        <v>174</v>
      </c>
      <c r="B60" s="49" t="s">
        <v>175</v>
      </c>
      <c r="C60" s="49" t="s">
        <v>157</v>
      </c>
      <c r="D60" s="49" t="s">
        <v>176</v>
      </c>
    </row>
    <row r="61" customFormat="false" ht="31.5" hidden="false" customHeight="true" outlineLevel="0" collapsed="false">
      <c r="A61" s="49" t="s">
        <v>177</v>
      </c>
      <c r="B61" s="49" t="s">
        <v>178</v>
      </c>
      <c r="C61" s="49" t="s">
        <v>157</v>
      </c>
      <c r="D61" s="49" t="s">
        <v>179</v>
      </c>
    </row>
    <row r="62" customFormat="false" ht="31.5" hidden="false" customHeight="true" outlineLevel="0" collapsed="false">
      <c r="A62" s="49" t="s">
        <v>180</v>
      </c>
      <c r="B62" s="49" t="s">
        <v>181</v>
      </c>
      <c r="C62" s="49" t="s">
        <v>157</v>
      </c>
      <c r="D62" s="49" t="s">
        <v>182</v>
      </c>
    </row>
    <row r="63" customFormat="false" ht="31.5" hidden="false" customHeight="true" outlineLevel="0" collapsed="false">
      <c r="A63" s="49" t="s">
        <v>27</v>
      </c>
      <c r="B63" s="49" t="s">
        <v>183</v>
      </c>
      <c r="C63" s="49" t="s">
        <v>154</v>
      </c>
      <c r="D63" s="49" t="s">
        <v>184</v>
      </c>
    </row>
    <row r="64" customFormat="false" ht="31.5" hidden="false" customHeight="true" outlineLevel="0" collapsed="false">
      <c r="A64" s="49" t="s">
        <v>185</v>
      </c>
      <c r="B64" s="49" t="s">
        <v>186</v>
      </c>
      <c r="C64" s="49" t="s">
        <v>154</v>
      </c>
      <c r="D64" s="49" t="s">
        <v>187</v>
      </c>
    </row>
    <row r="65" customFormat="false" ht="31.5" hidden="false" customHeight="true" outlineLevel="0" collapsed="false">
      <c r="A65" s="49" t="s">
        <v>188</v>
      </c>
      <c r="B65" s="49" t="s">
        <v>189</v>
      </c>
      <c r="C65" s="49" t="s">
        <v>154</v>
      </c>
      <c r="D65" s="49" t="s">
        <v>190</v>
      </c>
    </row>
    <row r="67" customFormat="false" ht="15" hidden="false" customHeight="true" outlineLevel="0" collapsed="false">
      <c r="A67" s="52" t="s">
        <v>191</v>
      </c>
    </row>
    <row r="68" customFormat="false" ht="27.75" hidden="false" customHeight="true" outlineLevel="0" collapsed="false">
      <c r="B68" s="8" t="s">
        <v>192</v>
      </c>
      <c r="C68" s="8"/>
      <c r="D68" s="8"/>
      <c r="E68" s="8"/>
    </row>
    <row r="69" customFormat="false" ht="27.75" hidden="false" customHeight="true" outlineLevel="0" collapsed="false">
      <c r="B69" s="8" t="s">
        <v>193</v>
      </c>
      <c r="C69" s="8"/>
      <c r="D69" s="8"/>
      <c r="E69" s="8"/>
    </row>
    <row r="70" customFormat="false" ht="27.75" hidden="false" customHeight="true" outlineLevel="0" collapsed="false">
      <c r="B70" s="8" t="s">
        <v>194</v>
      </c>
      <c r="C70" s="8"/>
      <c r="D70" s="8"/>
      <c r="E70" s="8"/>
    </row>
    <row r="71" customFormat="false" ht="27.75" hidden="false" customHeight="true" outlineLevel="0" collapsed="false">
      <c r="B71" s="8" t="s">
        <v>195</v>
      </c>
      <c r="C71" s="8"/>
      <c r="D71" s="8"/>
      <c r="E71" s="8"/>
    </row>
    <row r="72" customFormat="false" ht="27.75" hidden="false" customHeight="true" outlineLevel="0" collapsed="false">
      <c r="B72" s="8" t="s">
        <v>196</v>
      </c>
      <c r="C72" s="8"/>
      <c r="D72" s="8"/>
      <c r="E72" s="8"/>
    </row>
  </sheetData>
  <mergeCells count="38">
    <mergeCell ref="A2:E2"/>
    <mergeCell ref="B4:E4"/>
    <mergeCell ref="B15:E15"/>
    <mergeCell ref="B16:E16"/>
    <mergeCell ref="B17:E17"/>
    <mergeCell ref="B18:E18"/>
    <mergeCell ref="B19:E19"/>
    <mergeCell ref="B20:E20"/>
    <mergeCell ref="B21:E21"/>
    <mergeCell ref="B22:E22"/>
    <mergeCell ref="B23:E23"/>
    <mergeCell ref="B24:E24"/>
    <mergeCell ref="B26:E26"/>
    <mergeCell ref="B27:E27"/>
    <mergeCell ref="B28:E28"/>
    <mergeCell ref="B29:E29"/>
    <mergeCell ref="B30:E30"/>
    <mergeCell ref="B31:E31"/>
    <mergeCell ref="B32:E32"/>
    <mergeCell ref="B33:E33"/>
    <mergeCell ref="B34:E34"/>
    <mergeCell ref="B36:E36"/>
    <mergeCell ref="B37:E37"/>
    <mergeCell ref="B38:E38"/>
    <mergeCell ref="B39:E39"/>
    <mergeCell ref="B40:E40"/>
    <mergeCell ref="B41:E41"/>
    <mergeCell ref="B42:E42"/>
    <mergeCell ref="B44:E44"/>
    <mergeCell ref="B45:E45"/>
    <mergeCell ref="B46:E46"/>
    <mergeCell ref="B47:E47"/>
    <mergeCell ref="B48:E48"/>
    <mergeCell ref="B68:E68"/>
    <mergeCell ref="B69:E69"/>
    <mergeCell ref="B70:E70"/>
    <mergeCell ref="B71:E71"/>
    <mergeCell ref="B72:E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6796875" defaultRowHeight="15" zeroHeight="false" outlineLevelRow="0" outlineLevelCol="0"/>
  <cols>
    <col collapsed="false" customWidth="true" hidden="false" outlineLevel="0" max="1" min="1" style="1" width="52"/>
    <col collapsed="false" customWidth="true" hidden="false" outlineLevel="0" max="2" min="2" style="1" width="58"/>
    <col collapsed="false" customWidth="true" hidden="false" outlineLevel="0" max="7" min="3" style="1" width="17"/>
  </cols>
  <sheetData>
    <row r="1" customFormat="false" ht="21.75" hidden="false" customHeight="true" outlineLevel="0" collapsed="false">
      <c r="A1" s="2" t="s">
        <v>197</v>
      </c>
    </row>
    <row r="2" customFormat="false" ht="16.5" hidden="false" customHeight="true" outlineLevel="0" collapsed="false">
      <c r="A2" s="3" t="s">
        <v>198</v>
      </c>
      <c r="B2" s="3"/>
      <c r="C2" s="3"/>
      <c r="D2" s="3"/>
      <c r="E2" s="3"/>
      <c r="F2" s="3"/>
      <c r="G2" s="3"/>
    </row>
    <row r="3" customFormat="false" ht="15" hidden="false" customHeight="true" outlineLevel="0" collapsed="false">
      <c r="A3" s="53" t="s">
        <v>199</v>
      </c>
    </row>
    <row r="4" customFormat="false" ht="15" hidden="false" customHeight="true" outlineLevel="0" collapsed="false">
      <c r="A4" s="54" t="s">
        <v>30</v>
      </c>
      <c r="B4" s="54" t="s">
        <v>200</v>
      </c>
      <c r="C4" s="55" t="s">
        <v>201</v>
      </c>
      <c r="D4" s="55" t="s">
        <v>202</v>
      </c>
      <c r="E4" s="55" t="s">
        <v>203</v>
      </c>
      <c r="F4" s="55" t="s">
        <v>204</v>
      </c>
      <c r="G4" s="55" t="s">
        <v>205</v>
      </c>
    </row>
    <row r="5" customFormat="false" ht="15" hidden="false" customHeight="true" outlineLevel="0" collapsed="false">
      <c r="A5" s="56" t="s">
        <v>206</v>
      </c>
      <c r="C5" s="57" t="s">
        <v>207</v>
      </c>
      <c r="D5" s="57" t="s">
        <v>208</v>
      </c>
      <c r="E5" s="57" t="s">
        <v>209</v>
      </c>
      <c r="F5" s="57" t="s">
        <v>210</v>
      </c>
      <c r="G5" s="57" t="s">
        <v>211</v>
      </c>
    </row>
    <row r="6" customFormat="false" ht="15" hidden="false" customHeight="true" outlineLevel="0" collapsed="false">
      <c r="A6" s="58" t="s">
        <v>212</v>
      </c>
      <c r="B6" s="59"/>
      <c r="C6" s="59"/>
      <c r="D6" s="59"/>
      <c r="E6" s="59"/>
      <c r="F6" s="59"/>
      <c r="G6" s="59"/>
    </row>
    <row r="7" customFormat="false" ht="15" hidden="false" customHeight="true" outlineLevel="0" collapsed="false">
      <c r="A7" s="60" t="s">
        <v>32</v>
      </c>
      <c r="B7" s="56" t="s">
        <v>213</v>
      </c>
      <c r="C7" s="61" t="n">
        <v>1229.7</v>
      </c>
      <c r="D7" s="61" t="n">
        <v>1512.8</v>
      </c>
      <c r="E7" s="61" t="n">
        <v>1809.6</v>
      </c>
      <c r="F7" s="61" t="n">
        <v>2014.4</v>
      </c>
      <c r="G7" s="61" t="n">
        <v>2151.2</v>
      </c>
    </row>
    <row r="8" customFormat="false" ht="15" hidden="false" customHeight="true" outlineLevel="0" collapsed="false">
      <c r="A8" s="60" t="s">
        <v>214</v>
      </c>
      <c r="B8" s="56" t="s">
        <v>213</v>
      </c>
      <c r="C8" s="61" t="n">
        <v>-447.7</v>
      </c>
      <c r="D8" s="61" t="n">
        <v>-574.5</v>
      </c>
      <c r="E8" s="61" t="n">
        <v>-710.5</v>
      </c>
      <c r="F8" s="61" t="n">
        <v>-770.8</v>
      </c>
      <c r="G8" s="61" t="n">
        <v>-829.1</v>
      </c>
    </row>
    <row r="9" customFormat="false" ht="15" hidden="false" customHeight="true" outlineLevel="0" collapsed="false">
      <c r="A9" s="62" t="s">
        <v>215</v>
      </c>
      <c r="B9" s="56" t="s">
        <v>216</v>
      </c>
      <c r="C9" s="63" t="n">
        <f aca="false">C7+C8</f>
        <v>782</v>
      </c>
      <c r="D9" s="63" t="n">
        <f aca="false">D7+D8</f>
        <v>938.3</v>
      </c>
      <c r="E9" s="63" t="n">
        <f aca="false">E7+E8</f>
        <v>1099.1</v>
      </c>
      <c r="F9" s="63" t="n">
        <f aca="false">F7+F8</f>
        <v>1243.6</v>
      </c>
      <c r="G9" s="63" t="n">
        <f aca="false">G7+G8</f>
        <v>1322.1</v>
      </c>
    </row>
    <row r="10" customFormat="false" ht="15" hidden="false" customHeight="true" outlineLevel="0" collapsed="false">
      <c r="A10" s="60" t="s">
        <v>217</v>
      </c>
      <c r="B10" s="56" t="s">
        <v>213</v>
      </c>
      <c r="C10" s="61" t="n">
        <v>-567.6</v>
      </c>
      <c r="D10" s="61" t="n">
        <v>-713.2</v>
      </c>
      <c r="E10" s="61" t="n">
        <v>-844.2</v>
      </c>
      <c r="F10" s="61" t="n">
        <v>-950.1</v>
      </c>
      <c r="G10" s="61" t="n">
        <v>-1036.3</v>
      </c>
    </row>
    <row r="11" customFormat="false" ht="15" hidden="false" customHeight="true" outlineLevel="0" collapsed="false">
      <c r="A11" s="60" t="s">
        <v>218</v>
      </c>
      <c r="B11" s="56" t="s">
        <v>213</v>
      </c>
      <c r="C11" s="61" t="n">
        <v>-61.2</v>
      </c>
      <c r="D11" s="61" t="n">
        <v>-70.7</v>
      </c>
      <c r="E11" s="61" t="n">
        <v>-82.9</v>
      </c>
      <c r="F11" s="61" t="n">
        <v>-97.9</v>
      </c>
      <c r="G11" s="61" t="n">
        <v>-102.1</v>
      </c>
    </row>
    <row r="12" customFormat="false" ht="15" hidden="false" customHeight="true" outlineLevel="0" collapsed="false">
      <c r="A12" s="60" t="s">
        <v>219</v>
      </c>
      <c r="B12" s="56" t="s">
        <v>213</v>
      </c>
      <c r="C12" s="61" t="n">
        <v>0</v>
      </c>
      <c r="D12" s="61" t="n">
        <v>0</v>
      </c>
      <c r="E12" s="61" t="n">
        <v>20.3</v>
      </c>
      <c r="F12" s="61" t="n">
        <v>13.8</v>
      </c>
      <c r="G12" s="61" t="n">
        <v>0</v>
      </c>
    </row>
    <row r="13" customFormat="false" ht="15" hidden="false" customHeight="true" outlineLevel="0" collapsed="false">
      <c r="A13" s="62" t="s">
        <v>220</v>
      </c>
      <c r="B13" s="56" t="s">
        <v>216</v>
      </c>
      <c r="C13" s="63" t="n">
        <f aca="false">C9+C10+C11+C12</f>
        <v>153.2</v>
      </c>
      <c r="D13" s="63" t="n">
        <f aca="false">D9+D10+D11+D12</f>
        <v>154.4</v>
      </c>
      <c r="E13" s="63" t="n">
        <f aca="false">E9+E10+E11+E12</f>
        <v>192.3</v>
      </c>
      <c r="F13" s="63" t="n">
        <f aca="false">F9+F10+F11+F12</f>
        <v>209.4</v>
      </c>
      <c r="G13" s="63" t="n">
        <f aca="false">G9+G10+G11+G12</f>
        <v>183.7</v>
      </c>
    </row>
    <row r="14" customFormat="false" ht="15" hidden="false" customHeight="true" outlineLevel="0" collapsed="false">
      <c r="A14" s="60" t="s">
        <v>221</v>
      </c>
      <c r="B14" s="56" t="s">
        <v>222</v>
      </c>
      <c r="C14" s="61" t="n">
        <v>0</v>
      </c>
      <c r="D14" s="61" t="n">
        <v>1.4</v>
      </c>
      <c r="E14" s="61" t="n">
        <v>6.1</v>
      </c>
      <c r="F14" s="61" t="n">
        <v>8.1</v>
      </c>
      <c r="G14" s="61" t="n">
        <v>1.8</v>
      </c>
    </row>
    <row r="15" customFormat="false" ht="15" hidden="false" customHeight="true" outlineLevel="0" collapsed="false">
      <c r="A15" s="60" t="s">
        <v>223</v>
      </c>
      <c r="B15" s="56" t="s">
        <v>222</v>
      </c>
      <c r="C15" s="61" t="n">
        <v>-7.6</v>
      </c>
      <c r="D15" s="61" t="n">
        <v>-7.5</v>
      </c>
      <c r="E15" s="61" t="n">
        <v>-10.1</v>
      </c>
      <c r="F15" s="61" t="n">
        <v>-13.6</v>
      </c>
      <c r="G15" s="61" t="n">
        <v>-18.1</v>
      </c>
    </row>
    <row r="16" customFormat="false" ht="15" hidden="false" customHeight="true" outlineLevel="0" collapsed="false">
      <c r="A16" s="62" t="s">
        <v>224</v>
      </c>
      <c r="B16" s="56" t="s">
        <v>216</v>
      </c>
      <c r="C16" s="63" t="n">
        <f aca="false">C13+C14+C15</f>
        <v>145.6</v>
      </c>
      <c r="D16" s="63" t="n">
        <f aca="false">D13+D14+D15</f>
        <v>148.3</v>
      </c>
      <c r="E16" s="63" t="n">
        <f aca="false">E13+E14+E15</f>
        <v>188.3</v>
      </c>
      <c r="F16" s="63" t="n">
        <f aca="false">F13+F14+F15</f>
        <v>203.9</v>
      </c>
      <c r="G16" s="63" t="n">
        <f aca="false">G13+G14+G15</f>
        <v>167.4</v>
      </c>
    </row>
    <row r="17" customFormat="false" ht="15" hidden="false" customHeight="true" outlineLevel="0" collapsed="false">
      <c r="A17" s="60" t="s">
        <v>225</v>
      </c>
      <c r="B17" s="56" t="s">
        <v>213</v>
      </c>
      <c r="C17" s="61" t="n">
        <v>-28.1</v>
      </c>
      <c r="D17" s="61" t="n">
        <v>-28</v>
      </c>
      <c r="E17" s="61" t="n">
        <v>-45.8</v>
      </c>
      <c r="F17" s="61" t="n">
        <v>-50.5</v>
      </c>
      <c r="G17" s="61" t="n">
        <v>-45.2</v>
      </c>
    </row>
    <row r="18" customFormat="false" ht="15" hidden="false" customHeight="true" outlineLevel="0" collapsed="false">
      <c r="A18" s="62" t="s">
        <v>226</v>
      </c>
      <c r="B18" s="56" t="s">
        <v>216</v>
      </c>
      <c r="C18" s="63" t="n">
        <f aca="false">C16+C17</f>
        <v>117.5</v>
      </c>
      <c r="D18" s="63" t="n">
        <f aca="false">D16+D17</f>
        <v>120.3</v>
      </c>
      <c r="E18" s="63" t="n">
        <f aca="false">E16+E17</f>
        <v>142.5</v>
      </c>
      <c r="F18" s="63" t="n">
        <f aca="false">F16+F17</f>
        <v>153.4</v>
      </c>
      <c r="G18" s="63" t="n">
        <f aca="false">G16+G17</f>
        <v>122.2</v>
      </c>
    </row>
    <row r="20" customFormat="false" ht="15" hidden="false" customHeight="true" outlineLevel="0" collapsed="false">
      <c r="A20" s="58" t="s">
        <v>227</v>
      </c>
      <c r="B20" s="59"/>
      <c r="C20" s="59"/>
      <c r="D20" s="59"/>
      <c r="E20" s="59"/>
      <c r="F20" s="59"/>
      <c r="G20" s="59"/>
    </row>
    <row r="21" customFormat="false" ht="15" hidden="false" customHeight="true" outlineLevel="0" collapsed="false">
      <c r="A21" s="60" t="s">
        <v>228</v>
      </c>
      <c r="B21" s="56" t="s">
        <v>229</v>
      </c>
      <c r="C21" s="61" t="n">
        <v>0</v>
      </c>
      <c r="D21" s="61" t="n">
        <v>0</v>
      </c>
      <c r="E21" s="61" t="n">
        <v>20.6</v>
      </c>
      <c r="F21" s="61" t="n">
        <v>14.1</v>
      </c>
      <c r="G21" s="61" t="n">
        <v>-3.8</v>
      </c>
    </row>
    <row r="22" customFormat="false" ht="15" hidden="false" customHeight="true" outlineLevel="0" collapsed="false">
      <c r="A22" s="60" t="s">
        <v>230</v>
      </c>
      <c r="B22" s="56" t="s">
        <v>231</v>
      </c>
      <c r="C22" s="61" t="n">
        <v>0</v>
      </c>
      <c r="D22" s="61" t="n">
        <v>0</v>
      </c>
      <c r="E22" s="61" t="n">
        <v>0</v>
      </c>
      <c r="F22" s="61" t="n">
        <v>0</v>
      </c>
      <c r="G22" s="61" t="n">
        <v>-0.7</v>
      </c>
    </row>
    <row r="23" customFormat="false" ht="15" hidden="false" customHeight="true" outlineLevel="0" collapsed="false">
      <c r="A23" s="60" t="s">
        <v>232</v>
      </c>
      <c r="B23" s="56" t="s">
        <v>229</v>
      </c>
      <c r="C23" s="61" t="n">
        <v>0</v>
      </c>
      <c r="D23" s="61" t="n">
        <v>0</v>
      </c>
      <c r="E23" s="61" t="n">
        <v>-4.8</v>
      </c>
      <c r="F23" s="61" t="n">
        <v>-1.7</v>
      </c>
      <c r="G23" s="61" t="n">
        <v>0.9</v>
      </c>
    </row>
    <row r="24" customFormat="false" ht="15" hidden="false" customHeight="true" outlineLevel="0" collapsed="false">
      <c r="A24" s="62" t="s">
        <v>33</v>
      </c>
      <c r="B24" s="56" t="s">
        <v>216</v>
      </c>
      <c r="C24" s="63" t="n">
        <f aca="false">C13-C21</f>
        <v>153.2</v>
      </c>
      <c r="D24" s="63" t="n">
        <f aca="false">D13-D21</f>
        <v>154.4</v>
      </c>
      <c r="E24" s="63" t="n">
        <f aca="false">E13-E21</f>
        <v>171.7</v>
      </c>
      <c r="F24" s="63" t="n">
        <f aca="false">F13-F21</f>
        <v>195.3</v>
      </c>
      <c r="G24" s="63" t="n">
        <f aca="false">G13-G21</f>
        <v>187.5</v>
      </c>
    </row>
    <row r="25" customFormat="false" ht="15" hidden="false" customHeight="true" outlineLevel="0" collapsed="false">
      <c r="A25" s="62" t="s">
        <v>34</v>
      </c>
      <c r="B25" s="56" t="s">
        <v>216</v>
      </c>
      <c r="C25" s="63" t="n">
        <f aca="false">C16-C21-C22</f>
        <v>145.6</v>
      </c>
      <c r="D25" s="63" t="n">
        <f aca="false">D16-D21-D22</f>
        <v>148.3</v>
      </c>
      <c r="E25" s="63" t="n">
        <f aca="false">E16-E21-E22</f>
        <v>167.7</v>
      </c>
      <c r="F25" s="63" t="n">
        <f aca="false">F16-F21-F22</f>
        <v>189.8</v>
      </c>
      <c r="G25" s="63" t="n">
        <f aca="false">G16-G21-G22</f>
        <v>171.9</v>
      </c>
    </row>
    <row r="26" customFormat="false" ht="15" hidden="false" customHeight="true" outlineLevel="0" collapsed="false">
      <c r="A26" s="60" t="s">
        <v>23</v>
      </c>
      <c r="B26" s="56" t="s">
        <v>216</v>
      </c>
      <c r="C26" s="64" t="n">
        <f aca="false">IF(C7=0,0,C24/C7)</f>
        <v>0.124583231682524</v>
      </c>
      <c r="D26" s="64" t="n">
        <f aca="false">IF(D7=0,0,D24/D7)</f>
        <v>0.102062400846113</v>
      </c>
      <c r="E26" s="64" t="n">
        <f aca="false">IF(E7=0,0,E24/E7)</f>
        <v>0.0948828470380194</v>
      </c>
      <c r="F26" s="64" t="n">
        <f aca="false">IF(F7=0,0,F24/F7)</f>
        <v>0.0969519459888801</v>
      </c>
      <c r="G26" s="64" t="n">
        <f aca="false">IF(G7=0,0,G24/G7)</f>
        <v>0.0871606545184083</v>
      </c>
    </row>
    <row r="27" customFormat="false" ht="15" hidden="false" customHeight="true" outlineLevel="0" collapsed="false">
      <c r="A27" s="60" t="s">
        <v>233</v>
      </c>
      <c r="B27" s="56" t="s">
        <v>216</v>
      </c>
      <c r="C27" s="64" t="n">
        <f aca="false">IF(C16=0,0,-C17/C16)</f>
        <v>0.192994505494506</v>
      </c>
      <c r="D27" s="64" t="n">
        <f aca="false">IF(D16=0,0,-D17/D16)</f>
        <v>0.188806473364801</v>
      </c>
      <c r="E27" s="64" t="n">
        <f aca="false">IF(E16=0,0,-E17/E16)</f>
        <v>0.243228890069039</v>
      </c>
      <c r="F27" s="64" t="n">
        <f aca="false">IF(F16=0,0,-F17/F16)</f>
        <v>0.247670426679745</v>
      </c>
      <c r="G27" s="64" t="n">
        <f aca="false">IF(G16=0,0,-G17/G16)</f>
        <v>0.270011947431302</v>
      </c>
    </row>
    <row r="29" customFormat="false" ht="15" hidden="false" customHeight="true" outlineLevel="0" collapsed="false">
      <c r="A29" s="58" t="s">
        <v>234</v>
      </c>
      <c r="B29" s="59"/>
      <c r="C29" s="59"/>
      <c r="D29" s="59"/>
      <c r="E29" s="59"/>
      <c r="F29" s="59"/>
      <c r="G29" s="59"/>
    </row>
    <row r="30" customFormat="false" ht="15" hidden="false" customHeight="true" outlineLevel="0" collapsed="false">
      <c r="A30" s="60" t="s">
        <v>235</v>
      </c>
      <c r="B30" s="56" t="s">
        <v>213</v>
      </c>
      <c r="C30" s="61" t="n">
        <v>153.2</v>
      </c>
      <c r="D30" s="61" t="n">
        <v>154.4</v>
      </c>
      <c r="E30" s="61" t="n">
        <v>192.3</v>
      </c>
      <c r="F30" s="61" t="n">
        <v>209.4</v>
      </c>
      <c r="G30" s="61" t="n">
        <v>183.7</v>
      </c>
    </row>
    <row r="31" customFormat="false" ht="15" hidden="false" customHeight="true" outlineLevel="0" collapsed="false">
      <c r="A31" s="60" t="s">
        <v>236</v>
      </c>
      <c r="B31" s="56" t="s">
        <v>213</v>
      </c>
      <c r="C31" s="61" t="n">
        <v>145.6</v>
      </c>
      <c r="D31" s="61" t="n">
        <v>148.3</v>
      </c>
      <c r="E31" s="61" t="n">
        <v>188.3</v>
      </c>
      <c r="F31" s="61" t="n">
        <v>203.9</v>
      </c>
      <c r="G31" s="61" t="n">
        <v>167.4</v>
      </c>
    </row>
    <row r="32" customFormat="false" ht="15" hidden="false" customHeight="true" outlineLevel="0" collapsed="false">
      <c r="A32" s="60" t="s">
        <v>237</v>
      </c>
      <c r="B32" s="56" t="s">
        <v>213</v>
      </c>
      <c r="C32" s="61" t="n">
        <v>117.5</v>
      </c>
      <c r="D32" s="61" t="n">
        <v>120.3</v>
      </c>
      <c r="E32" s="61" t="n">
        <v>142.5</v>
      </c>
      <c r="F32" s="61" t="n">
        <v>153.4</v>
      </c>
      <c r="G32" s="61" t="n">
        <v>122.2</v>
      </c>
    </row>
    <row r="33" customFormat="false" ht="15" hidden="false" customHeight="true" outlineLevel="0" collapsed="false">
      <c r="A33" s="60" t="s">
        <v>238</v>
      </c>
      <c r="B33" s="56" t="s">
        <v>239</v>
      </c>
      <c r="C33" s="61" t="n">
        <v>145.6</v>
      </c>
      <c r="D33" s="61" t="n">
        <v>148.3</v>
      </c>
      <c r="E33" s="61" t="n">
        <v>167.7</v>
      </c>
      <c r="F33" s="61" t="n">
        <v>189.8</v>
      </c>
      <c r="G33" s="61" t="n">
        <v>171.9</v>
      </c>
    </row>
    <row r="35" customFormat="false" ht="15" hidden="false" customHeight="true" outlineLevel="0" collapsed="false">
      <c r="A35" s="58" t="s">
        <v>240</v>
      </c>
      <c r="B35" s="59"/>
      <c r="C35" s="59"/>
      <c r="D35" s="59"/>
      <c r="E35" s="59"/>
      <c r="F35" s="59"/>
      <c r="G35" s="59"/>
    </row>
    <row r="36" customFormat="false" ht="15" hidden="false" customHeight="true" outlineLevel="0" collapsed="false">
      <c r="A36" s="60" t="s">
        <v>241</v>
      </c>
      <c r="B36" s="56" t="s">
        <v>242</v>
      </c>
      <c r="C36" s="61" t="n">
        <v>1098.2</v>
      </c>
      <c r="D36" s="61" t="n">
        <v>1352.3</v>
      </c>
      <c r="E36" s="61" t="n">
        <v>1610.9</v>
      </c>
      <c r="F36" s="61" t="n">
        <v>1781.7</v>
      </c>
      <c r="G36" s="61" t="n">
        <v>1897.2</v>
      </c>
    </row>
    <row r="37" customFormat="false" ht="15" hidden="false" customHeight="true" outlineLevel="0" collapsed="false">
      <c r="A37" s="60" t="s">
        <v>243</v>
      </c>
      <c r="B37" s="56" t="s">
        <v>242</v>
      </c>
      <c r="C37" s="61" t="n">
        <v>131.5</v>
      </c>
      <c r="D37" s="61" t="n">
        <v>160.5</v>
      </c>
      <c r="E37" s="61" t="n">
        <v>198.7</v>
      </c>
      <c r="F37" s="61" t="n">
        <v>232.7</v>
      </c>
      <c r="G37" s="61" t="n">
        <v>254</v>
      </c>
    </row>
    <row r="38" customFormat="false" ht="15" hidden="false" customHeight="true" outlineLevel="0" collapsed="false">
      <c r="A38" s="60" t="s">
        <v>244</v>
      </c>
      <c r="B38" s="56" t="s">
        <v>216</v>
      </c>
      <c r="C38" s="65" t="n">
        <f aca="false">C36+C37-C7</f>
        <v>0</v>
      </c>
      <c r="D38" s="65" t="n">
        <f aca="false">D36+D37-D7</f>
        <v>0</v>
      </c>
      <c r="E38" s="65" t="n">
        <f aca="false">E36+E37-E7</f>
        <v>0</v>
      </c>
      <c r="F38" s="65" t="n">
        <f aca="false">F36+F37-F7</f>
        <v>0</v>
      </c>
      <c r="G38" s="65" t="n">
        <f aca="false">G36+G37-G7</f>
        <v>0</v>
      </c>
    </row>
    <row r="39" customFormat="false" ht="15" hidden="false" customHeight="true" outlineLevel="0" collapsed="false">
      <c r="A39" s="60" t="s">
        <v>245</v>
      </c>
      <c r="B39" s="56" t="s">
        <v>246</v>
      </c>
      <c r="C39" s="66" t="n">
        <v>2078</v>
      </c>
      <c r="D39" s="67" t="n">
        <f aca="false">C40</f>
        <v>2181</v>
      </c>
      <c r="E39" s="67" t="n">
        <f aca="false">D40</f>
        <v>2328</v>
      </c>
      <c r="F39" s="67" t="n">
        <f aca="false">E40</f>
        <v>2473</v>
      </c>
      <c r="G39" s="67" t="n">
        <f aca="false">F40</f>
        <v>2618</v>
      </c>
    </row>
    <row r="40" customFormat="false" ht="15" hidden="false" customHeight="true" outlineLevel="0" collapsed="false">
      <c r="A40" s="60" t="s">
        <v>247</v>
      </c>
      <c r="B40" s="56" t="s">
        <v>239</v>
      </c>
      <c r="C40" s="66" t="n">
        <v>2181</v>
      </c>
      <c r="D40" s="66" t="n">
        <v>2328</v>
      </c>
      <c r="E40" s="66" t="n">
        <v>2473</v>
      </c>
      <c r="F40" s="66" t="n">
        <v>2618</v>
      </c>
      <c r="G40" s="66" t="n">
        <v>2739</v>
      </c>
    </row>
    <row r="41" customFormat="false" ht="15" hidden="false" customHeight="true" outlineLevel="0" collapsed="false">
      <c r="A41" s="60" t="s">
        <v>248</v>
      </c>
      <c r="B41" s="56" t="s">
        <v>249</v>
      </c>
      <c r="C41" s="66" t="n">
        <v>375</v>
      </c>
      <c r="D41" s="66" t="n">
        <v>441</v>
      </c>
      <c r="E41" s="66" t="n">
        <v>503</v>
      </c>
      <c r="F41" s="66" t="n">
        <v>561</v>
      </c>
      <c r="G41" s="66" t="n">
        <v>602</v>
      </c>
    </row>
    <row r="42" customFormat="false" ht="15" hidden="false" customHeight="true" outlineLevel="0" collapsed="false">
      <c r="A42" s="60" t="s">
        <v>250</v>
      </c>
      <c r="B42" s="56" t="s">
        <v>216</v>
      </c>
      <c r="C42" s="67" t="n">
        <f aca="false">IF(C41="","",C40-C41)</f>
        <v>1806</v>
      </c>
      <c r="D42" s="67" t="n">
        <f aca="false">IF(D41="","",D40-D41)</f>
        <v>1887</v>
      </c>
      <c r="E42" s="67" t="n">
        <f aca="false">IF(E41="","",E40-E41)</f>
        <v>1970</v>
      </c>
      <c r="F42" s="67" t="n">
        <f aca="false">IF(F41="","",F40-F41)</f>
        <v>2057</v>
      </c>
      <c r="G42" s="67" t="n">
        <f aca="false">IF(G41="","",G40-G41)</f>
        <v>2137</v>
      </c>
    </row>
    <row r="43" customFormat="false" ht="15" hidden="false" customHeight="true" outlineLevel="0" collapsed="false">
      <c r="A43" s="60" t="s">
        <v>251</v>
      </c>
      <c r="B43" s="56" t="s">
        <v>252</v>
      </c>
      <c r="C43" s="66" t="n">
        <v>131</v>
      </c>
      <c r="D43" s="66" t="n">
        <v>186</v>
      </c>
      <c r="E43" s="66" t="n">
        <v>220</v>
      </c>
      <c r="F43" s="66" t="n">
        <v>226</v>
      </c>
      <c r="G43" s="66" t="n">
        <v>207</v>
      </c>
    </row>
    <row r="44" customFormat="false" ht="15" hidden="false" customHeight="true" outlineLevel="0" collapsed="false">
      <c r="A44" s="60" t="s">
        <v>253</v>
      </c>
      <c r="B44" s="56" t="s">
        <v>254</v>
      </c>
      <c r="C44" s="66" t="n">
        <v>-28</v>
      </c>
      <c r="D44" s="66" t="n">
        <v>-39</v>
      </c>
      <c r="E44" s="66" t="n">
        <v>-75</v>
      </c>
      <c r="F44" s="66" t="n">
        <v>-81</v>
      </c>
      <c r="G44" s="66" t="n">
        <v>-86</v>
      </c>
    </row>
    <row r="45" customFormat="false" ht="15" hidden="false" customHeight="true" outlineLevel="0" collapsed="false">
      <c r="A45" s="60" t="s">
        <v>255</v>
      </c>
      <c r="B45" s="56" t="s">
        <v>216</v>
      </c>
      <c r="C45" s="67" t="n">
        <f aca="false">C40-C39</f>
        <v>103</v>
      </c>
      <c r="D45" s="67" t="n">
        <f aca="false">D40-D39</f>
        <v>147</v>
      </c>
      <c r="E45" s="67" t="n">
        <f aca="false">E40-E39</f>
        <v>145</v>
      </c>
      <c r="F45" s="67" t="n">
        <f aca="false">F40-F39</f>
        <v>145</v>
      </c>
      <c r="G45" s="67" t="n">
        <f aca="false">G40-G39</f>
        <v>121</v>
      </c>
    </row>
    <row r="46" customFormat="false" ht="15" hidden="false" customHeight="true" outlineLevel="0" collapsed="false">
      <c r="A46" s="60" t="s">
        <v>256</v>
      </c>
      <c r="B46" s="56" t="s">
        <v>216</v>
      </c>
      <c r="C46" s="67" t="n">
        <f aca="false">IF(C43="",0,C43+C44-C45)</f>
        <v>0</v>
      </c>
      <c r="D46" s="67" t="n">
        <f aca="false">IF(D43="",0,D43+D44-D45)</f>
        <v>0</v>
      </c>
      <c r="E46" s="67" t="n">
        <f aca="false">IF(E43="",0,E43+E44-E45)</f>
        <v>0</v>
      </c>
      <c r="F46" s="67" t="n">
        <f aca="false">IF(F43="",0,F43+F44-F45)</f>
        <v>0</v>
      </c>
      <c r="G46" s="67" t="n">
        <f aca="false">IF(G43="",0,G43+G44-G45)</f>
        <v>0</v>
      </c>
    </row>
    <row r="47" customFormat="false" ht="15" hidden="false" customHeight="true" outlineLevel="0" collapsed="false">
      <c r="A47" s="60" t="s">
        <v>257</v>
      </c>
      <c r="B47" s="56" t="s">
        <v>239</v>
      </c>
      <c r="C47" s="68" t="n">
        <v>0.524</v>
      </c>
      <c r="D47" s="68" t="n">
        <v>0.178</v>
      </c>
      <c r="E47" s="68" t="n">
        <v>0.137</v>
      </c>
      <c r="F47" s="68" t="n">
        <v>0.055</v>
      </c>
      <c r="G47" s="68" t="n">
        <v>0.024</v>
      </c>
    </row>
    <row r="48" customFormat="false" ht="15" hidden="false" customHeight="true" outlineLevel="0" collapsed="false">
      <c r="A48" s="60" t="s">
        <v>258</v>
      </c>
      <c r="B48" s="56" t="s">
        <v>259</v>
      </c>
      <c r="C48" s="69"/>
      <c r="D48" s="69"/>
      <c r="E48" s="68" t="n">
        <v>0.149</v>
      </c>
      <c r="F48" s="68" t="n">
        <v>0.074</v>
      </c>
      <c r="G48" s="68" t="n">
        <v>0.043</v>
      </c>
    </row>
    <row r="49" customFormat="false" ht="15" hidden="false" customHeight="true" outlineLevel="0" collapsed="false">
      <c r="A49" s="60" t="s">
        <v>260</v>
      </c>
      <c r="B49" s="56" t="s">
        <v>216</v>
      </c>
      <c r="C49" s="70" t="n">
        <f aca="false">IF(C42="","",C36/C42)</f>
        <v>0.608084163898117</v>
      </c>
      <c r="D49" s="70" t="n">
        <f aca="false">IF(D42="","",D36/AVERAGE(D42,IF(C42="",D42,C42)))</f>
        <v>0.732358516111562</v>
      </c>
      <c r="E49" s="70" t="n">
        <f aca="false">IF(E42="","",E36/AVERAGE(E42,IF(D42="",E42,D42)))</f>
        <v>0.835312418978481</v>
      </c>
      <c r="F49" s="70" t="n">
        <f aca="false">IF(F42="","",F36/AVERAGE(F42,IF(E42="",F42,E42)))</f>
        <v>0.884877079711944</v>
      </c>
      <c r="G49" s="70" t="n">
        <f aca="false">IF(G42="","",G36/AVERAGE(G42,IF(F42="",G42,F42)))</f>
        <v>0.904721030042919</v>
      </c>
    </row>
    <row r="51" customFormat="false" ht="15" hidden="false" customHeight="true" outlineLevel="0" collapsed="false">
      <c r="A51" s="58" t="s">
        <v>261</v>
      </c>
      <c r="B51" s="59"/>
      <c r="C51" s="59"/>
      <c r="D51" s="59"/>
      <c r="E51" s="59"/>
      <c r="F51" s="59"/>
      <c r="G51" s="59"/>
    </row>
    <row r="52" customFormat="false" ht="15" hidden="false" customHeight="true" outlineLevel="0" collapsed="false">
      <c r="A52" s="60" t="s">
        <v>262</v>
      </c>
      <c r="B52" s="56" t="s">
        <v>263</v>
      </c>
      <c r="C52" s="61" t="n">
        <v>14.9</v>
      </c>
      <c r="D52" s="61" t="n">
        <v>13.5</v>
      </c>
      <c r="E52" s="61" t="n">
        <v>18.3</v>
      </c>
      <c r="F52" s="61" t="n">
        <v>24.9</v>
      </c>
      <c r="G52" s="61" t="n">
        <v>43</v>
      </c>
    </row>
    <row r="53" customFormat="false" ht="15" hidden="false" customHeight="true" outlineLevel="0" collapsed="false">
      <c r="A53" s="60" t="s">
        <v>264</v>
      </c>
      <c r="B53" s="56" t="s">
        <v>263</v>
      </c>
      <c r="C53" s="61" t="n">
        <v>343.8</v>
      </c>
      <c r="D53" s="61" t="n">
        <v>390</v>
      </c>
      <c r="E53" s="61" t="n">
        <v>510.3</v>
      </c>
      <c r="F53" s="61" t="n">
        <v>664.7</v>
      </c>
      <c r="G53" s="61" t="n">
        <v>832.1</v>
      </c>
    </row>
    <row r="54" customFormat="false" ht="15" hidden="false" customHeight="true" outlineLevel="0" collapsed="false">
      <c r="A54" s="60" t="s">
        <v>265</v>
      </c>
      <c r="B54" s="56" t="s">
        <v>263</v>
      </c>
      <c r="C54" s="61" t="n">
        <v>263.6</v>
      </c>
      <c r="D54" s="61" t="n">
        <v>281.6</v>
      </c>
      <c r="E54" s="61" t="n">
        <v>296.6</v>
      </c>
      <c r="F54" s="61" t="n">
        <v>387.2</v>
      </c>
      <c r="G54" s="61" t="n">
        <v>413</v>
      </c>
    </row>
    <row r="55" customFormat="false" ht="15" hidden="false" customHeight="true" outlineLevel="0" collapsed="false">
      <c r="A55" s="60" t="s">
        <v>266</v>
      </c>
      <c r="B55" s="56" t="s">
        <v>263</v>
      </c>
      <c r="C55" s="61" t="n">
        <v>0</v>
      </c>
      <c r="D55" s="61" t="n">
        <v>6.3</v>
      </c>
      <c r="E55" s="61" t="n">
        <v>6.6</v>
      </c>
      <c r="F55" s="61" t="n">
        <v>0</v>
      </c>
      <c r="G55" s="61" t="n">
        <v>0</v>
      </c>
    </row>
    <row r="56" customFormat="false" ht="15" hidden="false" customHeight="true" outlineLevel="0" collapsed="false">
      <c r="A56" s="62" t="s">
        <v>267</v>
      </c>
      <c r="B56" s="56" t="s">
        <v>216</v>
      </c>
      <c r="C56" s="63" t="n">
        <f aca="false">SUM(C52:C55)</f>
        <v>622.3</v>
      </c>
      <c r="D56" s="63" t="n">
        <f aca="false">SUM(D52:D55)</f>
        <v>691.4</v>
      </c>
      <c r="E56" s="63" t="n">
        <f aca="false">SUM(E52:E55)</f>
        <v>831.8</v>
      </c>
      <c r="F56" s="63" t="n">
        <f aca="false">SUM(F52:F55)</f>
        <v>1076.8</v>
      </c>
      <c r="G56" s="63" t="n">
        <f aca="false">SUM(G52:G55)</f>
        <v>1288.1</v>
      </c>
    </row>
    <row r="57" customFormat="false" ht="15" hidden="false" customHeight="true" outlineLevel="0" collapsed="false">
      <c r="A57" s="60" t="s">
        <v>268</v>
      </c>
      <c r="B57" s="56" t="s">
        <v>263</v>
      </c>
      <c r="C57" s="61" t="n">
        <v>27.9</v>
      </c>
      <c r="D57" s="61" t="n">
        <v>40.6</v>
      </c>
      <c r="E57" s="61" t="n">
        <v>48.8</v>
      </c>
      <c r="F57" s="61" t="n">
        <v>55.2</v>
      </c>
      <c r="G57" s="61" t="n">
        <v>55.7</v>
      </c>
    </row>
    <row r="58" customFormat="false" ht="15" hidden="false" customHeight="true" outlineLevel="0" collapsed="false">
      <c r="A58" s="60" t="s">
        <v>269</v>
      </c>
      <c r="B58" s="56" t="s">
        <v>263</v>
      </c>
      <c r="C58" s="61" t="n">
        <v>37.6</v>
      </c>
      <c r="D58" s="61" t="n">
        <v>50.2</v>
      </c>
      <c r="E58" s="61" t="n">
        <v>53.8</v>
      </c>
      <c r="F58" s="61" t="n">
        <v>62.4</v>
      </c>
      <c r="G58" s="61" t="n">
        <v>69.4</v>
      </c>
    </row>
    <row r="59" customFormat="false" ht="15" hidden="false" customHeight="true" outlineLevel="0" collapsed="false">
      <c r="A59" s="60" t="s">
        <v>270</v>
      </c>
      <c r="B59" s="56" t="s">
        <v>263</v>
      </c>
      <c r="C59" s="61" t="n">
        <v>1.6</v>
      </c>
      <c r="D59" s="61" t="n">
        <v>0</v>
      </c>
      <c r="E59" s="61" t="n">
        <v>0</v>
      </c>
      <c r="F59" s="61" t="n">
        <v>0</v>
      </c>
      <c r="G59" s="61" t="n">
        <v>0</v>
      </c>
    </row>
    <row r="60" customFormat="false" ht="15" hidden="false" customHeight="true" outlineLevel="0" collapsed="false">
      <c r="A60" s="60" t="s">
        <v>271</v>
      </c>
      <c r="B60" s="56" t="s">
        <v>263</v>
      </c>
      <c r="C60" s="61" t="n">
        <v>0.4</v>
      </c>
      <c r="D60" s="61" t="n">
        <v>0.6</v>
      </c>
      <c r="E60" s="61" t="n">
        <v>0</v>
      </c>
      <c r="F60" s="61" t="n">
        <v>0</v>
      </c>
      <c r="G60" s="61" t="n">
        <v>0</v>
      </c>
    </row>
    <row r="61" customFormat="false" ht="15" hidden="false" customHeight="true" outlineLevel="0" collapsed="false">
      <c r="A61" s="60" t="s">
        <v>272</v>
      </c>
      <c r="B61" s="56" t="s">
        <v>263</v>
      </c>
      <c r="C61" s="61" t="n">
        <v>198.6</v>
      </c>
      <c r="D61" s="61" t="n">
        <v>191.6</v>
      </c>
      <c r="E61" s="61" t="n">
        <v>195.3</v>
      </c>
      <c r="F61" s="61" t="n">
        <v>125.3</v>
      </c>
      <c r="G61" s="61" t="n">
        <v>70.8</v>
      </c>
    </row>
    <row r="62" customFormat="false" ht="15" hidden="false" customHeight="true" outlineLevel="0" collapsed="false">
      <c r="A62" s="62" t="s">
        <v>273</v>
      </c>
      <c r="B62" s="56" t="s">
        <v>216</v>
      </c>
      <c r="C62" s="63" t="n">
        <f aca="false">SUM(C57:C61)</f>
        <v>266.1</v>
      </c>
      <c r="D62" s="63" t="n">
        <f aca="false">SUM(D57:D61)</f>
        <v>283</v>
      </c>
      <c r="E62" s="63" t="n">
        <f aca="false">SUM(E57:E61)</f>
        <v>297.9</v>
      </c>
      <c r="F62" s="63" t="n">
        <f aca="false">SUM(F57:F61)</f>
        <v>242.9</v>
      </c>
      <c r="G62" s="63" t="n">
        <f aca="false">SUM(G57:G61)</f>
        <v>195.9</v>
      </c>
    </row>
    <row r="63" customFormat="false" ht="15" hidden="false" customHeight="true" outlineLevel="0" collapsed="false">
      <c r="A63" s="62" t="s">
        <v>274</v>
      </c>
      <c r="B63" s="56" t="s">
        <v>216</v>
      </c>
      <c r="C63" s="63" t="n">
        <f aca="false">C56+C62</f>
        <v>888.4</v>
      </c>
      <c r="D63" s="63" t="n">
        <f aca="false">D56+D62</f>
        <v>974.4</v>
      </c>
      <c r="E63" s="63" t="n">
        <f aca="false">E56+E62</f>
        <v>1129.7</v>
      </c>
      <c r="F63" s="63" t="n">
        <f aca="false">F56+F62</f>
        <v>1319.7</v>
      </c>
      <c r="G63" s="63" t="n">
        <f aca="false">G56+G62</f>
        <v>1484</v>
      </c>
    </row>
    <row r="64" customFormat="false" ht="15" hidden="false" customHeight="true" outlineLevel="0" collapsed="false">
      <c r="A64" s="60" t="s">
        <v>275</v>
      </c>
      <c r="B64" s="56" t="s">
        <v>263</v>
      </c>
      <c r="C64" s="61" t="n">
        <v>-153.4</v>
      </c>
      <c r="D64" s="61" t="n">
        <v>-191.7</v>
      </c>
      <c r="E64" s="61" t="n">
        <v>-211.1</v>
      </c>
      <c r="F64" s="61" t="n">
        <v>-243.9</v>
      </c>
      <c r="G64" s="61" t="n">
        <v>-272.8</v>
      </c>
    </row>
    <row r="65" customFormat="false" ht="15" hidden="false" customHeight="true" outlineLevel="0" collapsed="false">
      <c r="A65" s="60" t="s">
        <v>276</v>
      </c>
      <c r="B65" s="56" t="s">
        <v>263</v>
      </c>
      <c r="C65" s="61" t="n">
        <v>0</v>
      </c>
      <c r="D65" s="61" t="n">
        <v>0</v>
      </c>
      <c r="E65" s="61" t="n">
        <v>-4.9</v>
      </c>
      <c r="F65" s="61" t="n">
        <v>-9.1</v>
      </c>
      <c r="G65" s="61" t="n">
        <v>-2.1</v>
      </c>
    </row>
    <row r="66" customFormat="false" ht="15" hidden="false" customHeight="true" outlineLevel="0" collapsed="false">
      <c r="A66" s="60" t="s">
        <v>277</v>
      </c>
      <c r="B66" s="56" t="s">
        <v>263</v>
      </c>
      <c r="C66" s="61" t="n">
        <v>-49.3</v>
      </c>
      <c r="D66" s="61" t="n">
        <v>-48.8</v>
      </c>
      <c r="E66" s="61" t="n">
        <v>-52.5</v>
      </c>
      <c r="F66" s="61" t="n">
        <v>-53.8</v>
      </c>
      <c r="G66" s="61" t="n">
        <v>-62.5</v>
      </c>
    </row>
    <row r="67" customFormat="false" ht="15" hidden="false" customHeight="true" outlineLevel="0" collapsed="false">
      <c r="A67" s="60" t="s">
        <v>278</v>
      </c>
      <c r="B67" s="56" t="s">
        <v>263</v>
      </c>
      <c r="C67" s="61" t="n">
        <v>-4.2</v>
      </c>
      <c r="D67" s="61" t="n">
        <v>-3.6</v>
      </c>
      <c r="E67" s="61" t="n">
        <v>-4</v>
      </c>
      <c r="F67" s="61" t="n">
        <v>-3.4</v>
      </c>
      <c r="G67" s="61" t="n">
        <v>-10.3</v>
      </c>
    </row>
    <row r="68" customFormat="false" ht="15" hidden="false" customHeight="true" outlineLevel="0" collapsed="false">
      <c r="A68" s="62" t="s">
        <v>279</v>
      </c>
      <c r="B68" s="56" t="s">
        <v>216</v>
      </c>
      <c r="C68" s="63" t="n">
        <f aca="false">SUM(C64:C67)</f>
        <v>-206.9</v>
      </c>
      <c r="D68" s="63" t="n">
        <f aca="false">SUM(D64:D67)</f>
        <v>-244.1</v>
      </c>
      <c r="E68" s="63" t="n">
        <f aca="false">SUM(E64:E67)</f>
        <v>-272.5</v>
      </c>
      <c r="F68" s="63" t="n">
        <f aca="false">SUM(F64:F67)</f>
        <v>-310.2</v>
      </c>
      <c r="G68" s="63" t="n">
        <f aca="false">SUM(G64:G67)</f>
        <v>-347.7</v>
      </c>
    </row>
    <row r="69" customFormat="false" ht="15" hidden="false" customHeight="true" outlineLevel="0" collapsed="false">
      <c r="A69" s="60" t="s">
        <v>280</v>
      </c>
      <c r="B69" s="56" t="s">
        <v>263</v>
      </c>
      <c r="C69" s="61" t="n">
        <v>0</v>
      </c>
      <c r="D69" s="61" t="n">
        <v>0</v>
      </c>
      <c r="E69" s="61" t="n">
        <v>0</v>
      </c>
      <c r="F69" s="61" t="n">
        <v>0</v>
      </c>
      <c r="G69" s="61" t="n">
        <v>-25</v>
      </c>
    </row>
    <row r="70" customFormat="false" ht="15" hidden="false" customHeight="true" outlineLevel="0" collapsed="false">
      <c r="A70" s="60" t="s">
        <v>281</v>
      </c>
      <c r="B70" s="56" t="s">
        <v>263</v>
      </c>
      <c r="C70" s="61" t="n">
        <v>-3.2</v>
      </c>
      <c r="D70" s="61" t="n">
        <v>-2.8</v>
      </c>
      <c r="E70" s="61" t="n">
        <v>-2.3</v>
      </c>
      <c r="F70" s="61" t="n">
        <v>-1.8</v>
      </c>
      <c r="G70" s="61" t="n">
        <v>-1.4</v>
      </c>
    </row>
    <row r="71" customFormat="false" ht="15" hidden="false" customHeight="true" outlineLevel="0" collapsed="false">
      <c r="A71" s="60" t="s">
        <v>282</v>
      </c>
      <c r="B71" s="56" t="s">
        <v>263</v>
      </c>
      <c r="C71" s="61" t="n">
        <v>-233.9</v>
      </c>
      <c r="D71" s="61" t="n">
        <v>-252.5</v>
      </c>
      <c r="E71" s="61" t="n">
        <v>-267.1</v>
      </c>
      <c r="F71" s="61" t="n">
        <v>-361.3</v>
      </c>
      <c r="G71" s="61" t="n">
        <v>-387.3</v>
      </c>
    </row>
    <row r="72" customFormat="false" ht="15" hidden="false" customHeight="true" outlineLevel="0" collapsed="false">
      <c r="A72" s="60" t="s">
        <v>283</v>
      </c>
      <c r="B72" s="56" t="s">
        <v>263</v>
      </c>
      <c r="C72" s="61" t="n">
        <v>-10</v>
      </c>
      <c r="D72" s="61" t="n">
        <v>-26.3</v>
      </c>
      <c r="E72" s="61" t="n">
        <v>-54.7</v>
      </c>
      <c r="F72" s="61" t="n">
        <v>-72.6</v>
      </c>
      <c r="G72" s="61" t="n">
        <v>-93.7</v>
      </c>
    </row>
    <row r="73" customFormat="false" ht="15" hidden="false" customHeight="true" outlineLevel="0" collapsed="false">
      <c r="A73" s="60" t="s">
        <v>284</v>
      </c>
      <c r="B73" s="56" t="s">
        <v>263</v>
      </c>
      <c r="C73" s="61" t="n">
        <v>-2.8</v>
      </c>
      <c r="D73" s="61" t="n">
        <v>-2.7</v>
      </c>
      <c r="E73" s="61" t="n">
        <v>-2.2</v>
      </c>
      <c r="F73" s="61" t="n">
        <v>-2.9</v>
      </c>
      <c r="G73" s="61" t="n">
        <v>-3.4</v>
      </c>
    </row>
    <row r="74" customFormat="false" ht="15" hidden="false" customHeight="true" outlineLevel="0" collapsed="false">
      <c r="A74" s="60" t="s">
        <v>285</v>
      </c>
      <c r="B74" s="56" t="s">
        <v>263</v>
      </c>
      <c r="C74" s="61" t="n">
        <v>-2.4</v>
      </c>
      <c r="D74" s="61" t="n">
        <v>0</v>
      </c>
      <c r="E74" s="61" t="n">
        <v>0</v>
      </c>
      <c r="F74" s="61" t="n">
        <v>-0.4</v>
      </c>
      <c r="G74" s="61" t="n">
        <v>-0.3</v>
      </c>
    </row>
    <row r="75" customFormat="false" ht="15" hidden="false" customHeight="true" outlineLevel="0" collapsed="false">
      <c r="A75" s="62" t="s">
        <v>286</v>
      </c>
      <c r="B75" s="56" t="s">
        <v>216</v>
      </c>
      <c r="C75" s="63" t="n">
        <f aca="false">SUM(C69:C74)</f>
        <v>-252.3</v>
      </c>
      <c r="D75" s="63" t="n">
        <f aca="false">SUM(D69:D74)</f>
        <v>-284.3</v>
      </c>
      <c r="E75" s="63" t="n">
        <f aca="false">SUM(E69:E74)</f>
        <v>-326.3</v>
      </c>
      <c r="F75" s="63" t="n">
        <f aca="false">SUM(F69:F74)</f>
        <v>-439</v>
      </c>
      <c r="G75" s="63" t="n">
        <f aca="false">SUM(G69:G74)</f>
        <v>-511.1</v>
      </c>
    </row>
    <row r="76" customFormat="false" ht="15" hidden="false" customHeight="true" outlineLevel="0" collapsed="false">
      <c r="A76" s="62" t="s">
        <v>287</v>
      </c>
      <c r="B76" s="56" t="s">
        <v>216</v>
      </c>
      <c r="C76" s="63" t="n">
        <f aca="false">C68+C75</f>
        <v>-459.2</v>
      </c>
      <c r="D76" s="63" t="n">
        <f aca="false">D68+D75</f>
        <v>-528.4</v>
      </c>
      <c r="E76" s="63" t="n">
        <f aca="false">E68+E75</f>
        <v>-598.8</v>
      </c>
      <c r="F76" s="63" t="n">
        <f aca="false">F68+F75</f>
        <v>-749.2</v>
      </c>
      <c r="G76" s="63" t="n">
        <f aca="false">G68+G75</f>
        <v>-858.8</v>
      </c>
    </row>
    <row r="77" customFormat="false" ht="15" hidden="false" customHeight="true" outlineLevel="0" collapsed="false">
      <c r="A77" s="62" t="s">
        <v>288</v>
      </c>
      <c r="B77" s="56" t="s">
        <v>216</v>
      </c>
      <c r="C77" s="63" t="n">
        <f aca="false">C63+C76</f>
        <v>429.2</v>
      </c>
      <c r="D77" s="63" t="n">
        <f aca="false">D63+D76</f>
        <v>446</v>
      </c>
      <c r="E77" s="63" t="n">
        <f aca="false">E63+E76</f>
        <v>530.9</v>
      </c>
      <c r="F77" s="63" t="n">
        <f aca="false">F63+F76</f>
        <v>570.5</v>
      </c>
      <c r="G77" s="63" t="n">
        <f aca="false">G63+G76</f>
        <v>625.2</v>
      </c>
    </row>
    <row r="78" customFormat="false" ht="15" hidden="false" customHeight="true" outlineLevel="0" collapsed="false">
      <c r="A78" s="60" t="s">
        <v>289</v>
      </c>
      <c r="B78" s="56" t="s">
        <v>263</v>
      </c>
      <c r="C78" s="61" t="n">
        <v>2</v>
      </c>
      <c r="D78" s="61" t="n">
        <v>2</v>
      </c>
      <c r="E78" s="61" t="n">
        <v>2</v>
      </c>
      <c r="F78" s="61" t="n">
        <v>2</v>
      </c>
      <c r="G78" s="61" t="n">
        <v>2</v>
      </c>
    </row>
    <row r="79" customFormat="false" ht="15" hidden="false" customHeight="true" outlineLevel="0" collapsed="false">
      <c r="A79" s="60" t="s">
        <v>290</v>
      </c>
      <c r="B79" s="56" t="s">
        <v>263</v>
      </c>
      <c r="C79" s="61" t="n">
        <v>20</v>
      </c>
      <c r="D79" s="61" t="n">
        <v>23.1</v>
      </c>
      <c r="E79" s="61" t="n">
        <v>25.1</v>
      </c>
      <c r="F79" s="61" t="n">
        <v>25.1</v>
      </c>
      <c r="G79" s="61" t="n">
        <v>25.1</v>
      </c>
    </row>
    <row r="80" customFormat="false" ht="15" hidden="false" customHeight="true" outlineLevel="0" collapsed="false">
      <c r="A80" s="60" t="s">
        <v>291</v>
      </c>
      <c r="B80" s="56" t="s">
        <v>263</v>
      </c>
      <c r="C80" s="61" t="n">
        <v>0.4</v>
      </c>
      <c r="D80" s="61" t="n">
        <v>0.4</v>
      </c>
      <c r="E80" s="61" t="n">
        <v>0.4</v>
      </c>
      <c r="F80" s="61" t="n">
        <v>0.4</v>
      </c>
      <c r="G80" s="61" t="n">
        <v>0.4</v>
      </c>
    </row>
    <row r="81" customFormat="false" ht="15" hidden="false" customHeight="true" outlineLevel="0" collapsed="false">
      <c r="A81" s="60" t="s">
        <v>292</v>
      </c>
      <c r="B81" s="56" t="s">
        <v>263</v>
      </c>
      <c r="C81" s="61" t="n">
        <v>406.8</v>
      </c>
      <c r="D81" s="61" t="n">
        <v>420.5</v>
      </c>
      <c r="E81" s="61" t="n">
        <v>503.4</v>
      </c>
      <c r="F81" s="61" t="n">
        <v>543</v>
      </c>
      <c r="G81" s="61" t="n">
        <v>597.7</v>
      </c>
    </row>
    <row r="82" customFormat="false" ht="15" hidden="false" customHeight="true" outlineLevel="0" collapsed="false">
      <c r="A82" s="62" t="s">
        <v>293</v>
      </c>
      <c r="B82" s="56" t="s">
        <v>216</v>
      </c>
      <c r="C82" s="63" t="n">
        <f aca="false">SUM(C78:C81)</f>
        <v>429.2</v>
      </c>
      <c r="D82" s="63" t="n">
        <f aca="false">SUM(D78:D81)</f>
        <v>446</v>
      </c>
      <c r="E82" s="63" t="n">
        <f aca="false">SUM(E78:E81)</f>
        <v>530.9</v>
      </c>
      <c r="F82" s="63" t="n">
        <f aca="false">SUM(F78:F81)</f>
        <v>570.5</v>
      </c>
      <c r="G82" s="63" t="n">
        <f aca="false">SUM(G78:G81)</f>
        <v>625.2</v>
      </c>
    </row>
    <row r="83" customFormat="false" ht="15" hidden="false" customHeight="true" outlineLevel="0" collapsed="false">
      <c r="A83" s="60" t="s">
        <v>294</v>
      </c>
      <c r="B83" s="56" t="s">
        <v>263</v>
      </c>
      <c r="C83" s="61" t="n">
        <v>888.4</v>
      </c>
      <c r="D83" s="61" t="n">
        <v>974.4</v>
      </c>
      <c r="E83" s="61" t="n">
        <v>1129.7</v>
      </c>
      <c r="F83" s="61" t="n">
        <v>1319.7</v>
      </c>
      <c r="G83" s="61" t="n">
        <v>1484</v>
      </c>
    </row>
    <row r="84" customFormat="false" ht="15" hidden="false" customHeight="true" outlineLevel="0" collapsed="false">
      <c r="A84" s="60" t="s">
        <v>295</v>
      </c>
      <c r="B84" s="56" t="s">
        <v>263</v>
      </c>
      <c r="C84" s="61" t="n">
        <v>429.2</v>
      </c>
      <c r="D84" s="61" t="n">
        <v>446</v>
      </c>
      <c r="E84" s="61" t="n">
        <v>530.9</v>
      </c>
      <c r="F84" s="61" t="n">
        <v>570.5</v>
      </c>
      <c r="G84" s="61" t="n">
        <v>625.2</v>
      </c>
    </row>
    <row r="86" customFormat="false" ht="15" hidden="false" customHeight="true" outlineLevel="0" collapsed="false">
      <c r="A86" s="58" t="s">
        <v>296</v>
      </c>
      <c r="B86" s="59"/>
      <c r="C86" s="59"/>
      <c r="D86" s="59"/>
      <c r="E86" s="59"/>
      <c r="F86" s="59"/>
      <c r="G86" s="59"/>
    </row>
    <row r="87" customFormat="false" ht="15" hidden="false" customHeight="true" outlineLevel="0" collapsed="false">
      <c r="A87" s="60" t="s">
        <v>297</v>
      </c>
      <c r="B87" s="56" t="s">
        <v>216</v>
      </c>
      <c r="C87" s="65" t="n">
        <f aca="false">C61+C69</f>
        <v>198.6</v>
      </c>
      <c r="D87" s="65" t="n">
        <f aca="false">D61+D69</f>
        <v>191.6</v>
      </c>
      <c r="E87" s="65" t="n">
        <f aca="false">E61+E69</f>
        <v>195.3</v>
      </c>
      <c r="F87" s="65" t="n">
        <f aca="false">F61+F69</f>
        <v>125.3</v>
      </c>
      <c r="G87" s="65" t="n">
        <f aca="false">G61+G69</f>
        <v>45.8</v>
      </c>
    </row>
    <row r="88" customFormat="false" ht="15" hidden="false" customHeight="true" outlineLevel="0" collapsed="false">
      <c r="A88" s="60" t="s">
        <v>298</v>
      </c>
      <c r="B88" s="56" t="s">
        <v>216</v>
      </c>
      <c r="C88" s="65" t="n">
        <f aca="false">C66+C71</f>
        <v>-283.2</v>
      </c>
      <c r="D88" s="65" t="n">
        <f aca="false">D66+D71</f>
        <v>-301.3</v>
      </c>
      <c r="E88" s="65" t="n">
        <f aca="false">E66+E71</f>
        <v>-319.6</v>
      </c>
      <c r="F88" s="65" t="n">
        <f aca="false">F66+F71</f>
        <v>-415.1</v>
      </c>
      <c r="G88" s="65" t="n">
        <f aca="false">G66+G71</f>
        <v>-449.8</v>
      </c>
    </row>
    <row r="89" customFormat="false" ht="15" hidden="false" customHeight="true" outlineLevel="0" collapsed="false">
      <c r="A89" s="60" t="s">
        <v>299</v>
      </c>
      <c r="B89" s="56" t="s">
        <v>216</v>
      </c>
      <c r="C89" s="65" t="n">
        <f aca="false">C87+C88</f>
        <v>-84.6</v>
      </c>
      <c r="D89" s="65" t="n">
        <f aca="false">D87+D88</f>
        <v>-109.7</v>
      </c>
      <c r="E89" s="65" t="n">
        <f aca="false">E87+E88</f>
        <v>-124.3</v>
      </c>
      <c r="F89" s="65" t="n">
        <f aca="false">F87+F88</f>
        <v>-289.8</v>
      </c>
      <c r="G89" s="65" t="n">
        <f aca="false">G87+G88</f>
        <v>-404</v>
      </c>
    </row>
    <row r="91" customFormat="false" ht="15" hidden="false" customHeight="true" outlineLevel="0" collapsed="false">
      <c r="A91" s="58" t="s">
        <v>300</v>
      </c>
      <c r="B91" s="59"/>
      <c r="C91" s="59"/>
      <c r="D91" s="59"/>
      <c r="E91" s="59"/>
      <c r="F91" s="59"/>
      <c r="G91" s="59"/>
    </row>
    <row r="92" customFormat="false" ht="15" hidden="false" customHeight="true" outlineLevel="0" collapsed="false">
      <c r="A92" s="60" t="s">
        <v>301</v>
      </c>
      <c r="B92" s="56" t="s">
        <v>302</v>
      </c>
      <c r="C92" s="61" t="n">
        <v>312.1</v>
      </c>
      <c r="D92" s="61" t="n">
        <v>272.3</v>
      </c>
      <c r="E92" s="61" t="n">
        <v>333</v>
      </c>
      <c r="F92" s="61" t="n">
        <v>352.6</v>
      </c>
      <c r="G92" s="61" t="n">
        <v>383.7</v>
      </c>
    </row>
    <row r="93" customFormat="false" ht="15" hidden="false" customHeight="true" outlineLevel="0" collapsed="false">
      <c r="A93" s="60" t="s">
        <v>303</v>
      </c>
      <c r="B93" s="56" t="s">
        <v>302</v>
      </c>
      <c r="C93" s="61" t="n">
        <v>-19.2</v>
      </c>
      <c r="D93" s="61" t="n">
        <v>-13.3</v>
      </c>
      <c r="E93" s="61" t="n">
        <v>-11.9</v>
      </c>
      <c r="F93" s="61" t="n">
        <v>-27.7</v>
      </c>
      <c r="G93" s="61" t="n">
        <v>-31.5</v>
      </c>
    </row>
    <row r="94" customFormat="false" ht="15" hidden="false" customHeight="true" outlineLevel="0" collapsed="false">
      <c r="A94" s="60" t="s">
        <v>304</v>
      </c>
      <c r="B94" s="56" t="s">
        <v>302</v>
      </c>
      <c r="C94" s="61" t="n">
        <v>0</v>
      </c>
      <c r="D94" s="61" t="n">
        <v>1.4</v>
      </c>
      <c r="E94" s="61" t="n">
        <v>6.1</v>
      </c>
      <c r="F94" s="61" t="n">
        <v>7.7</v>
      </c>
      <c r="G94" s="61" t="n">
        <v>2.1</v>
      </c>
    </row>
    <row r="95" customFormat="false" ht="15" hidden="false" customHeight="true" outlineLevel="0" collapsed="false">
      <c r="A95" s="60" t="s">
        <v>305</v>
      </c>
      <c r="B95" s="56" t="s">
        <v>302</v>
      </c>
      <c r="C95" s="61" t="n">
        <v>-6.3</v>
      </c>
      <c r="D95" s="61" t="n">
        <v>-6.8</v>
      </c>
      <c r="E95" s="61" t="n">
        <v>-9.6</v>
      </c>
      <c r="F95" s="61" t="n">
        <v>-13</v>
      </c>
      <c r="G95" s="61" t="n">
        <v>-16.7</v>
      </c>
    </row>
    <row r="96" customFormat="false" ht="15" hidden="false" customHeight="true" outlineLevel="0" collapsed="false">
      <c r="A96" s="60" t="s">
        <v>306</v>
      </c>
      <c r="B96" s="56" t="s">
        <v>302</v>
      </c>
      <c r="C96" s="61" t="n">
        <v>-1.1</v>
      </c>
      <c r="D96" s="61" t="n">
        <v>-0.7</v>
      </c>
      <c r="E96" s="61" t="n">
        <v>-0.7</v>
      </c>
      <c r="F96" s="61" t="n">
        <v>-1</v>
      </c>
      <c r="G96" s="61" t="n">
        <v>-0.6</v>
      </c>
    </row>
    <row r="97" customFormat="false" ht="15" hidden="false" customHeight="true" outlineLevel="0" collapsed="false">
      <c r="A97" s="62" t="s">
        <v>307</v>
      </c>
      <c r="B97" s="56" t="s">
        <v>216</v>
      </c>
      <c r="C97" s="63" t="n">
        <f aca="false">SUM(C92:C96)</f>
        <v>285.5</v>
      </c>
      <c r="D97" s="63" t="n">
        <f aca="false">SUM(D92:D96)</f>
        <v>252.9</v>
      </c>
      <c r="E97" s="63" t="n">
        <f aca="false">SUM(E92:E96)</f>
        <v>316.9</v>
      </c>
      <c r="F97" s="63" t="n">
        <f aca="false">SUM(F92:F96)</f>
        <v>318.6</v>
      </c>
      <c r="G97" s="63" t="n">
        <f aca="false">SUM(G92:G96)</f>
        <v>337</v>
      </c>
    </row>
    <row r="98" customFormat="false" ht="15" hidden="false" customHeight="true" outlineLevel="0" collapsed="false">
      <c r="A98" s="60" t="s">
        <v>308</v>
      </c>
      <c r="B98" s="56" t="s">
        <v>302</v>
      </c>
      <c r="C98" s="61" t="n">
        <v>-50.5</v>
      </c>
      <c r="D98" s="61" t="n">
        <v>-100</v>
      </c>
      <c r="E98" s="61" t="n">
        <v>-189.5</v>
      </c>
      <c r="F98" s="61" t="n">
        <v>-230</v>
      </c>
      <c r="G98" s="61" t="n">
        <v>-263.3</v>
      </c>
    </row>
    <row r="99" customFormat="false" ht="15" hidden="false" customHeight="true" outlineLevel="0" collapsed="false">
      <c r="A99" s="60" t="s">
        <v>309</v>
      </c>
      <c r="B99" s="56" t="s">
        <v>302</v>
      </c>
      <c r="C99" s="61" t="n">
        <v>-3.8</v>
      </c>
      <c r="D99" s="61" t="n">
        <v>-3.3</v>
      </c>
      <c r="E99" s="61" t="n">
        <v>-8.6</v>
      </c>
      <c r="F99" s="61" t="n">
        <v>-10.9</v>
      </c>
      <c r="G99" s="61" t="n">
        <v>-22.1</v>
      </c>
    </row>
    <row r="100" customFormat="false" ht="15" hidden="false" customHeight="true" outlineLevel="0" collapsed="false">
      <c r="A100" s="60" t="s">
        <v>310</v>
      </c>
      <c r="B100" s="56" t="s">
        <v>302</v>
      </c>
      <c r="C100" s="61" t="n">
        <v>0.3</v>
      </c>
      <c r="D100" s="61" t="n">
        <v>0.9</v>
      </c>
      <c r="E100" s="61" t="n">
        <v>0.8</v>
      </c>
      <c r="F100" s="61" t="n">
        <v>16.1</v>
      </c>
      <c r="G100" s="61" t="n">
        <v>0.9</v>
      </c>
    </row>
    <row r="101" customFormat="false" ht="15" hidden="false" customHeight="true" outlineLevel="0" collapsed="false">
      <c r="A101" s="60" t="s">
        <v>311</v>
      </c>
      <c r="B101" s="56" t="s">
        <v>302</v>
      </c>
      <c r="C101" s="61" t="n">
        <v>0</v>
      </c>
      <c r="D101" s="61" t="n">
        <v>1.6</v>
      </c>
      <c r="E101" s="61" t="n">
        <v>0</v>
      </c>
      <c r="F101" s="61" t="n">
        <v>0</v>
      </c>
      <c r="G101" s="61" t="n">
        <v>0</v>
      </c>
    </row>
    <row r="102" customFormat="false" ht="15" hidden="false" customHeight="true" outlineLevel="0" collapsed="false">
      <c r="A102" s="62" t="s">
        <v>312</v>
      </c>
      <c r="B102" s="56" t="s">
        <v>216</v>
      </c>
      <c r="C102" s="63" t="n">
        <f aca="false">SUM(C98:C101)</f>
        <v>-54</v>
      </c>
      <c r="D102" s="63" t="n">
        <f aca="false">SUM(D98:D101)</f>
        <v>-100.8</v>
      </c>
      <c r="E102" s="63" t="n">
        <f aca="false">SUM(E98:E101)</f>
        <v>-197.3</v>
      </c>
      <c r="F102" s="63" t="n">
        <f aca="false">SUM(F98:F101)</f>
        <v>-224.8</v>
      </c>
      <c r="G102" s="63" t="n">
        <f aca="false">SUM(G98:G101)</f>
        <v>-284.5</v>
      </c>
    </row>
    <row r="103" customFormat="false" ht="15" hidden="false" customHeight="true" outlineLevel="0" collapsed="false">
      <c r="A103" s="60" t="s">
        <v>313</v>
      </c>
      <c r="B103" s="56" t="s">
        <v>302</v>
      </c>
      <c r="C103" s="61" t="n">
        <v>0</v>
      </c>
      <c r="D103" s="61" t="n">
        <v>0</v>
      </c>
      <c r="E103" s="61" t="n">
        <v>0</v>
      </c>
      <c r="F103" s="61" t="n">
        <v>0</v>
      </c>
      <c r="G103" s="61" t="n">
        <v>40</v>
      </c>
    </row>
    <row r="104" customFormat="false" ht="15" hidden="false" customHeight="true" outlineLevel="0" collapsed="false">
      <c r="A104" s="60" t="s">
        <v>314</v>
      </c>
      <c r="B104" s="56" t="s">
        <v>302</v>
      </c>
      <c r="C104" s="61" t="n">
        <v>0</v>
      </c>
      <c r="D104" s="61" t="n">
        <v>0</v>
      </c>
      <c r="E104" s="61" t="n">
        <v>0</v>
      </c>
      <c r="F104" s="61" t="n">
        <v>0</v>
      </c>
      <c r="G104" s="61" t="n">
        <v>-15</v>
      </c>
    </row>
    <row r="105" customFormat="false" ht="15" hidden="false" customHeight="true" outlineLevel="0" collapsed="false">
      <c r="A105" s="60" t="s">
        <v>315</v>
      </c>
      <c r="B105" s="56" t="s">
        <v>302</v>
      </c>
      <c r="C105" s="61" t="n">
        <v>4.3</v>
      </c>
      <c r="D105" s="61" t="n">
        <v>3.1</v>
      </c>
      <c r="E105" s="61" t="n">
        <v>2</v>
      </c>
      <c r="F105" s="61" t="n">
        <v>0</v>
      </c>
      <c r="G105" s="61" t="n">
        <v>0</v>
      </c>
    </row>
    <row r="106" customFormat="false" ht="15" hidden="false" customHeight="true" outlineLevel="0" collapsed="false">
      <c r="A106" s="60" t="s">
        <v>316</v>
      </c>
      <c r="B106" s="56" t="s">
        <v>302</v>
      </c>
      <c r="C106" s="61" t="n">
        <v>0.3</v>
      </c>
      <c r="D106" s="61" t="n">
        <v>0</v>
      </c>
      <c r="E106" s="61" t="n">
        <v>1.6</v>
      </c>
      <c r="F106" s="61" t="n">
        <v>4.7</v>
      </c>
      <c r="G106" s="61" t="n">
        <v>1.6</v>
      </c>
    </row>
    <row r="107" customFormat="false" ht="15" hidden="false" customHeight="true" outlineLevel="0" collapsed="false">
      <c r="A107" s="60" t="s">
        <v>317</v>
      </c>
      <c r="B107" s="56" t="s">
        <v>302</v>
      </c>
      <c r="C107" s="61" t="n">
        <v>-10</v>
      </c>
      <c r="D107" s="61" t="n">
        <v>-11</v>
      </c>
      <c r="E107" s="61" t="n">
        <v>-5</v>
      </c>
      <c r="F107" s="61" t="n">
        <v>-5</v>
      </c>
      <c r="G107" s="61" t="n">
        <v>0</v>
      </c>
    </row>
    <row r="108" customFormat="false" ht="15" hidden="false" customHeight="true" outlineLevel="0" collapsed="false">
      <c r="A108" s="60" t="s">
        <v>318</v>
      </c>
      <c r="B108" s="56" t="s">
        <v>302</v>
      </c>
      <c r="C108" s="61" t="n">
        <v>-15.3</v>
      </c>
      <c r="D108" s="61" t="n">
        <v>-98.5</v>
      </c>
      <c r="E108" s="61" t="n">
        <v>-60.8</v>
      </c>
      <c r="F108" s="61" t="n">
        <v>-106.8</v>
      </c>
      <c r="G108" s="61" t="n">
        <v>-70.3</v>
      </c>
    </row>
    <row r="109" customFormat="false" ht="15" hidden="false" customHeight="true" outlineLevel="0" collapsed="false">
      <c r="A109" s="60" t="s">
        <v>319</v>
      </c>
      <c r="B109" s="56" t="s">
        <v>302</v>
      </c>
      <c r="C109" s="61" t="n">
        <v>-49</v>
      </c>
      <c r="D109" s="61" t="n">
        <v>-52.7</v>
      </c>
      <c r="E109" s="61" t="n">
        <v>-53.7</v>
      </c>
      <c r="F109" s="61" t="n">
        <v>-56.7</v>
      </c>
      <c r="G109" s="61" t="n">
        <v>-63.3</v>
      </c>
    </row>
    <row r="110" customFormat="false" ht="15" hidden="false" customHeight="true" outlineLevel="0" collapsed="false">
      <c r="A110" s="62" t="s">
        <v>320</v>
      </c>
      <c r="B110" s="56" t="s">
        <v>216</v>
      </c>
      <c r="C110" s="63" t="n">
        <f aca="false">SUM(C103:C109)</f>
        <v>-69.7</v>
      </c>
      <c r="D110" s="63" t="n">
        <f aca="false">SUM(D103:D109)</f>
        <v>-159.1</v>
      </c>
      <c r="E110" s="63" t="n">
        <f aca="false">SUM(E103:E109)</f>
        <v>-115.9</v>
      </c>
      <c r="F110" s="63" t="n">
        <f aca="false">SUM(F103:F109)</f>
        <v>-163.8</v>
      </c>
      <c r="G110" s="63" t="n">
        <f aca="false">SUM(G103:G109)</f>
        <v>-107</v>
      </c>
    </row>
    <row r="111" customFormat="false" ht="15" hidden="false" customHeight="true" outlineLevel="0" collapsed="false">
      <c r="A111" s="62" t="s">
        <v>321</v>
      </c>
      <c r="B111" s="56" t="s">
        <v>216</v>
      </c>
      <c r="C111" s="63" t="n">
        <f aca="false">C97+C102+C110</f>
        <v>161.8</v>
      </c>
      <c r="D111" s="63" t="n">
        <f aca="false">D97+D102+D110</f>
        <v>-6.99999999999997</v>
      </c>
      <c r="E111" s="63" t="n">
        <f aca="false">E97+E102+E110</f>
        <v>3.69999999999996</v>
      </c>
      <c r="F111" s="63" t="n">
        <f aca="false">F97+F102+F110</f>
        <v>-70</v>
      </c>
      <c r="G111" s="63" t="n">
        <f aca="false">G97+G102+G110</f>
        <v>-54.5</v>
      </c>
    </row>
    <row r="112" customFormat="false" ht="15" hidden="false" customHeight="true" outlineLevel="0" collapsed="false">
      <c r="A112" s="60" t="s">
        <v>322</v>
      </c>
      <c r="B112" s="56" t="s">
        <v>323</v>
      </c>
      <c r="C112" s="61" t="n">
        <v>36.8</v>
      </c>
      <c r="D112" s="65" t="n">
        <f aca="false">C113</f>
        <v>198.6</v>
      </c>
      <c r="E112" s="65" t="n">
        <f aca="false">D113</f>
        <v>191.6</v>
      </c>
      <c r="F112" s="65" t="n">
        <f aca="false">E113</f>
        <v>195.3</v>
      </c>
      <c r="G112" s="65" t="n">
        <f aca="false">F113</f>
        <v>125.3</v>
      </c>
    </row>
    <row r="113" customFormat="false" ht="15" hidden="false" customHeight="true" outlineLevel="0" collapsed="false">
      <c r="A113" s="62" t="s">
        <v>324</v>
      </c>
      <c r="B113" s="56" t="s">
        <v>216</v>
      </c>
      <c r="C113" s="63" t="n">
        <f aca="false">C112+C111</f>
        <v>198.6</v>
      </c>
      <c r="D113" s="63" t="n">
        <f aca="false">D112+D111</f>
        <v>191.6</v>
      </c>
      <c r="E113" s="63" t="n">
        <f aca="false">E112+E111</f>
        <v>195.3</v>
      </c>
      <c r="F113" s="63" t="n">
        <f aca="false">F112+F111</f>
        <v>125.3</v>
      </c>
      <c r="G113" s="63" t="n">
        <f aca="false">G112+G111</f>
        <v>70.8</v>
      </c>
    </row>
    <row r="114" customFormat="false" ht="15" hidden="false" customHeight="true" outlineLevel="0" collapsed="false">
      <c r="A114" s="60" t="s">
        <v>325</v>
      </c>
      <c r="B114" s="56" t="s">
        <v>302</v>
      </c>
      <c r="C114" s="61" t="n">
        <v>161.8</v>
      </c>
      <c r="D114" s="61" t="n">
        <v>-7</v>
      </c>
      <c r="E114" s="61" t="n">
        <v>3.7</v>
      </c>
      <c r="F114" s="61" t="n">
        <v>-70</v>
      </c>
      <c r="G114" s="61" t="n">
        <v>-54.5</v>
      </c>
    </row>
    <row r="116" customFormat="false" ht="15" hidden="false" customHeight="true" outlineLevel="0" collapsed="false">
      <c r="A116" s="58" t="s">
        <v>326</v>
      </c>
      <c r="B116" s="59"/>
      <c r="C116" s="59"/>
      <c r="D116" s="59"/>
      <c r="E116" s="59"/>
      <c r="F116" s="59"/>
      <c r="G116" s="59"/>
    </row>
    <row r="117" customFormat="false" ht="15" hidden="false" customHeight="true" outlineLevel="0" collapsed="false">
      <c r="A117" s="60" t="s">
        <v>327</v>
      </c>
      <c r="B117" s="56" t="s">
        <v>216</v>
      </c>
      <c r="C117" s="65" t="n">
        <f aca="false">C98+C99</f>
        <v>-54.3</v>
      </c>
      <c r="D117" s="65" t="n">
        <f aca="false">D98+D99</f>
        <v>-103.3</v>
      </c>
      <c r="E117" s="65" t="n">
        <f aca="false">E98+E99</f>
        <v>-198.1</v>
      </c>
      <c r="F117" s="65" t="n">
        <f aca="false">F98+F99</f>
        <v>-240.9</v>
      </c>
      <c r="G117" s="65" t="n">
        <f aca="false">G98+G99</f>
        <v>-285.4</v>
      </c>
    </row>
    <row r="118" customFormat="false" ht="15" hidden="false" customHeight="true" outlineLevel="0" collapsed="false">
      <c r="A118" s="60" t="s">
        <v>36</v>
      </c>
      <c r="B118" s="56" t="s">
        <v>216</v>
      </c>
      <c r="C118" s="65" t="n">
        <f aca="false">C97+C117+C109</f>
        <v>182.2</v>
      </c>
      <c r="D118" s="65" t="n">
        <f aca="false">D97+D117+D109</f>
        <v>96.9</v>
      </c>
      <c r="E118" s="65" t="n">
        <f aca="false">E97+E117+E109</f>
        <v>65.1</v>
      </c>
      <c r="F118" s="65" t="n">
        <f aca="false">F97+F117+F109</f>
        <v>21</v>
      </c>
      <c r="G118" s="65" t="n">
        <f aca="false">G97+G117+G109</f>
        <v>-11.7</v>
      </c>
    </row>
    <row r="120" customFormat="false" ht="15" hidden="false" customHeight="true" outlineLevel="0" collapsed="false">
      <c r="A120" s="58" t="s">
        <v>328</v>
      </c>
      <c r="B120" s="59"/>
      <c r="C120" s="59"/>
      <c r="D120" s="59"/>
      <c r="E120" s="59"/>
      <c r="F120" s="59"/>
      <c r="G120" s="59"/>
    </row>
    <row r="121" customFormat="false" ht="15" hidden="false" customHeight="true" outlineLevel="0" collapsed="false">
      <c r="A121" s="60" t="s">
        <v>226</v>
      </c>
      <c r="B121" s="56" t="s">
        <v>329</v>
      </c>
      <c r="C121" s="61" t="n">
        <v>117.5</v>
      </c>
      <c r="D121" s="61" t="n">
        <v>120.3</v>
      </c>
      <c r="E121" s="61" t="n">
        <v>142.5</v>
      </c>
      <c r="F121" s="61" t="n">
        <v>153.4</v>
      </c>
      <c r="G121" s="61" t="n">
        <v>122.2</v>
      </c>
    </row>
    <row r="122" customFormat="false" ht="15" hidden="false" customHeight="true" outlineLevel="0" collapsed="false">
      <c r="A122" s="60" t="s">
        <v>330</v>
      </c>
      <c r="B122" s="56" t="s">
        <v>329</v>
      </c>
      <c r="C122" s="61" t="n">
        <v>4.5</v>
      </c>
      <c r="D122" s="61" t="n">
        <v>4.7</v>
      </c>
      <c r="E122" s="61" t="n">
        <v>3.9</v>
      </c>
      <c r="F122" s="61" t="n">
        <v>4.2</v>
      </c>
      <c r="G122" s="61" t="n">
        <v>4.7</v>
      </c>
    </row>
    <row r="123" customFormat="false" ht="15" hidden="false" customHeight="true" outlineLevel="0" collapsed="false">
      <c r="A123" s="60" t="s">
        <v>331</v>
      </c>
      <c r="B123" s="56" t="s">
        <v>329</v>
      </c>
      <c r="C123" s="61" t="n">
        <v>54.2</v>
      </c>
      <c r="D123" s="61" t="n">
        <v>58</v>
      </c>
      <c r="E123" s="61" t="n">
        <v>66.6</v>
      </c>
      <c r="F123" s="61" t="n">
        <v>76.6</v>
      </c>
      <c r="G123" s="61" t="n">
        <v>90.7</v>
      </c>
    </row>
    <row r="124" customFormat="false" ht="15" hidden="false" customHeight="true" outlineLevel="0" collapsed="false">
      <c r="A124" s="60" t="s">
        <v>332</v>
      </c>
      <c r="B124" s="56" t="s">
        <v>329</v>
      </c>
      <c r="C124" s="61" t="n">
        <v>48.7</v>
      </c>
      <c r="D124" s="61" t="n">
        <v>52.8</v>
      </c>
      <c r="E124" s="61" t="n">
        <v>54.5</v>
      </c>
      <c r="F124" s="61" t="n">
        <v>59.2</v>
      </c>
      <c r="G124" s="61" t="n">
        <v>65.2</v>
      </c>
    </row>
    <row r="125" customFormat="false" ht="15" hidden="false" customHeight="true" outlineLevel="0" collapsed="false">
      <c r="A125" s="60" t="s">
        <v>333</v>
      </c>
      <c r="B125" s="56" t="s">
        <v>329</v>
      </c>
      <c r="C125" s="61" t="n">
        <v>-1.9</v>
      </c>
      <c r="D125" s="61" t="n">
        <v>1.2</v>
      </c>
      <c r="E125" s="61" t="n">
        <v>1.4</v>
      </c>
      <c r="F125" s="61" t="n">
        <v>2.9</v>
      </c>
      <c r="G125" s="61" t="n">
        <v>3.9</v>
      </c>
    </row>
    <row r="126" customFormat="false" ht="15" hidden="false" customHeight="true" outlineLevel="0" collapsed="false">
      <c r="A126" s="60" t="s">
        <v>334</v>
      </c>
      <c r="B126" s="56" t="s">
        <v>329</v>
      </c>
      <c r="C126" s="61" t="n">
        <v>-1.6</v>
      </c>
      <c r="D126" s="61" t="n">
        <v>0</v>
      </c>
      <c r="E126" s="61" t="n">
        <v>2.5</v>
      </c>
      <c r="F126" s="61" t="n">
        <v>2.1</v>
      </c>
      <c r="G126" s="61" t="n">
        <v>3</v>
      </c>
    </row>
    <row r="127" customFormat="false" ht="15" hidden="false" customHeight="true" outlineLevel="0" collapsed="false">
      <c r="A127" s="60" t="s">
        <v>335</v>
      </c>
      <c r="B127" s="56" t="s">
        <v>329</v>
      </c>
      <c r="C127" s="61" t="n">
        <v>0.9</v>
      </c>
      <c r="D127" s="61" t="n">
        <v>1</v>
      </c>
      <c r="E127" s="61" t="n">
        <v>2</v>
      </c>
      <c r="F127" s="61" t="n">
        <v>-11.8</v>
      </c>
      <c r="G127" s="61" t="n">
        <v>1.7</v>
      </c>
    </row>
    <row r="128" customFormat="false" ht="15" hidden="false" customHeight="true" outlineLevel="0" collapsed="false">
      <c r="A128" s="60" t="s">
        <v>336</v>
      </c>
      <c r="B128" s="56" t="s">
        <v>329</v>
      </c>
      <c r="C128" s="61" t="n">
        <v>-0.5</v>
      </c>
      <c r="D128" s="61" t="n">
        <v>-0.4</v>
      </c>
      <c r="E128" s="61" t="n">
        <v>-0.5</v>
      </c>
      <c r="F128" s="61" t="n">
        <v>-0.5</v>
      </c>
      <c r="G128" s="61" t="n">
        <v>-0.5</v>
      </c>
    </row>
    <row r="129" customFormat="false" ht="15" hidden="false" customHeight="true" outlineLevel="0" collapsed="false">
      <c r="A129" s="60" t="s">
        <v>337</v>
      </c>
      <c r="B129" s="56" t="s">
        <v>329</v>
      </c>
      <c r="C129" s="61" t="n">
        <v>2.2</v>
      </c>
      <c r="D129" s="61" t="n">
        <v>3.6</v>
      </c>
      <c r="E129" s="61" t="n">
        <v>4.6</v>
      </c>
      <c r="F129" s="61" t="n">
        <v>4.5</v>
      </c>
      <c r="G129" s="61" t="n">
        <v>1.5</v>
      </c>
    </row>
    <row r="130" customFormat="false" ht="15" hidden="false" customHeight="true" outlineLevel="0" collapsed="false">
      <c r="A130" s="60" t="s">
        <v>221</v>
      </c>
      <c r="B130" s="56" t="s">
        <v>329</v>
      </c>
      <c r="C130" s="61" t="n">
        <v>0</v>
      </c>
      <c r="D130" s="61" t="n">
        <v>0</v>
      </c>
      <c r="E130" s="61" t="n">
        <v>-6.1</v>
      </c>
      <c r="F130" s="61" t="n">
        <v>-8.1</v>
      </c>
      <c r="G130" s="61" t="n">
        <v>-1.8</v>
      </c>
    </row>
    <row r="131" customFormat="false" ht="15" hidden="false" customHeight="true" outlineLevel="0" collapsed="false">
      <c r="A131" s="60" t="s">
        <v>223</v>
      </c>
      <c r="B131" s="56" t="s">
        <v>329</v>
      </c>
      <c r="C131" s="61" t="n">
        <v>7.6</v>
      </c>
      <c r="D131" s="61" t="n">
        <v>6.1</v>
      </c>
      <c r="E131" s="61" t="n">
        <v>10.1</v>
      </c>
      <c r="F131" s="61" t="n">
        <v>13.6</v>
      </c>
      <c r="G131" s="61" t="n">
        <v>18.1</v>
      </c>
    </row>
    <row r="132" customFormat="false" ht="15" hidden="false" customHeight="true" outlineLevel="0" collapsed="false">
      <c r="A132" s="60" t="s">
        <v>338</v>
      </c>
      <c r="B132" s="56" t="s">
        <v>329</v>
      </c>
      <c r="C132" s="61" t="n">
        <v>28.1</v>
      </c>
      <c r="D132" s="61" t="n">
        <v>28</v>
      </c>
      <c r="E132" s="61" t="n">
        <v>45.8</v>
      </c>
      <c r="F132" s="61" t="n">
        <v>50.5</v>
      </c>
      <c r="G132" s="61" t="n">
        <v>45.2</v>
      </c>
    </row>
    <row r="133" customFormat="false" ht="15" hidden="false" customHeight="true" outlineLevel="0" collapsed="false">
      <c r="A133" s="60" t="s">
        <v>339</v>
      </c>
      <c r="B133" s="56" t="s">
        <v>329</v>
      </c>
      <c r="C133" s="61" t="n">
        <v>-5.4</v>
      </c>
      <c r="D133" s="61" t="n">
        <v>-12.7</v>
      </c>
      <c r="E133" s="61" t="n">
        <v>-8.2</v>
      </c>
      <c r="F133" s="61" t="n">
        <v>-6.4</v>
      </c>
      <c r="G133" s="61" t="n">
        <v>-0.4</v>
      </c>
    </row>
    <row r="134" customFormat="false" ht="15" hidden="false" customHeight="true" outlineLevel="0" collapsed="false">
      <c r="A134" s="60" t="s">
        <v>340</v>
      </c>
      <c r="B134" s="56" t="s">
        <v>329</v>
      </c>
      <c r="C134" s="61" t="n">
        <v>1.8</v>
      </c>
      <c r="D134" s="61" t="n">
        <v>-12.4</v>
      </c>
      <c r="E134" s="61" t="n">
        <v>-3.6</v>
      </c>
      <c r="F134" s="61" t="n">
        <v>-8.1</v>
      </c>
      <c r="G134" s="61" t="n">
        <v>-7.4</v>
      </c>
    </row>
    <row r="135" customFormat="false" ht="15" hidden="false" customHeight="true" outlineLevel="0" collapsed="false">
      <c r="A135" s="60" t="s">
        <v>341</v>
      </c>
      <c r="B135" s="56" t="s">
        <v>329</v>
      </c>
      <c r="C135" s="61" t="n">
        <v>58.9</v>
      </c>
      <c r="D135" s="61" t="n">
        <v>30.8</v>
      </c>
      <c r="E135" s="61" t="n">
        <v>18</v>
      </c>
      <c r="F135" s="61" t="n">
        <v>24.9</v>
      </c>
      <c r="G135" s="61" t="n">
        <v>31.6</v>
      </c>
    </row>
    <row r="136" customFormat="false" ht="15" hidden="false" customHeight="true" outlineLevel="0" collapsed="false">
      <c r="A136" s="60" t="s">
        <v>342</v>
      </c>
      <c r="B136" s="56" t="s">
        <v>329</v>
      </c>
      <c r="C136" s="61" t="n">
        <v>-0.4</v>
      </c>
      <c r="D136" s="61" t="n">
        <v>-0.7</v>
      </c>
      <c r="E136" s="61" t="n">
        <v>-0.5</v>
      </c>
      <c r="F136" s="61" t="n">
        <v>0.1</v>
      </c>
      <c r="G136" s="61" t="n">
        <v>6</v>
      </c>
    </row>
    <row r="137" customFormat="false" ht="15" hidden="false" customHeight="true" outlineLevel="0" collapsed="false">
      <c r="A137" s="60" t="s">
        <v>343</v>
      </c>
      <c r="B137" s="56" t="s">
        <v>329</v>
      </c>
      <c r="C137" s="61" t="n">
        <v>-2.5</v>
      </c>
      <c r="D137" s="61" t="n">
        <v>-8</v>
      </c>
      <c r="E137" s="61" t="n">
        <v>0</v>
      </c>
      <c r="F137" s="61" t="n">
        <v>-4.5</v>
      </c>
      <c r="G137" s="61" t="n">
        <v>0</v>
      </c>
    </row>
    <row r="138" customFormat="false" ht="15" hidden="false" customHeight="true" outlineLevel="0" collapsed="false">
      <c r="A138" s="62" t="s">
        <v>344</v>
      </c>
      <c r="B138" s="56" t="s">
        <v>216</v>
      </c>
      <c r="C138" s="63" t="n">
        <f aca="false">SUM(C121:C137)</f>
        <v>312.1</v>
      </c>
      <c r="D138" s="63" t="n">
        <f aca="false">SUM(D121:D137)</f>
        <v>272.3</v>
      </c>
      <c r="E138" s="63" t="n">
        <f aca="false">SUM(E121:E137)</f>
        <v>333</v>
      </c>
      <c r="F138" s="63" t="n">
        <f aca="false">SUM(F121:F137)</f>
        <v>352.6</v>
      </c>
      <c r="G138" s="63" t="n">
        <f aca="false">SUM(G121:G137)</f>
        <v>383.7</v>
      </c>
    </row>
    <row r="139" customFormat="false" ht="15" hidden="false" customHeight="true" outlineLevel="0" collapsed="false">
      <c r="A139" s="60" t="s">
        <v>345</v>
      </c>
      <c r="B139" s="56" t="s">
        <v>216</v>
      </c>
      <c r="C139" s="65" t="n">
        <f aca="false">C122+C123+C124</f>
        <v>107.4</v>
      </c>
      <c r="D139" s="65" t="n">
        <f aca="false">D122+D123+D124</f>
        <v>115.5</v>
      </c>
      <c r="E139" s="65" t="n">
        <f aca="false">E122+E123+E124</f>
        <v>125</v>
      </c>
      <c r="F139" s="65" t="n">
        <f aca="false">F122+F123+F124</f>
        <v>140</v>
      </c>
      <c r="G139" s="65" t="n">
        <f aca="false">G122+G123+G124</f>
        <v>160.6</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C5" activePane="bottomLeft" state="frozen"/>
      <selection pane="topLeft" activeCell="A1" activeCellId="0" sqref="A1"/>
      <selection pane="bottomLeft" activeCell="D21" activeCellId="0" sqref="D21"/>
    </sheetView>
  </sheetViews>
  <sheetFormatPr defaultColWidth="8.66796875" defaultRowHeight="15" zeroHeight="false" outlineLevelRow="0" outlineLevelCol="0"/>
  <cols>
    <col collapsed="false" customWidth="true" hidden="false" outlineLevel="0" max="1" min="1" style="1" width="46"/>
    <col collapsed="false" customWidth="true" hidden="false" outlineLevel="0" max="2" min="2" style="1" width="52.67"/>
    <col collapsed="false" customWidth="true" hidden="false" outlineLevel="0" max="3" min="3" style="1" width="13.34"/>
    <col collapsed="false" customWidth="true" hidden="false" outlineLevel="0" max="6" min="4" style="1" width="12"/>
  </cols>
  <sheetData>
    <row r="1" customFormat="false" ht="21.75" hidden="false" customHeight="true" outlineLevel="0" collapsed="false">
      <c r="A1" s="2" t="s">
        <v>346</v>
      </c>
    </row>
    <row r="2" customFormat="false" ht="28.5" hidden="false" customHeight="true" outlineLevel="0" collapsed="false">
      <c r="A2" s="3" t="s">
        <v>347</v>
      </c>
      <c r="B2" s="3"/>
      <c r="C2" s="3"/>
      <c r="D2" s="3"/>
      <c r="E2" s="3"/>
      <c r="F2" s="3"/>
    </row>
    <row r="4" customFormat="false" ht="15" hidden="false" customHeight="true" outlineLevel="0" collapsed="false">
      <c r="A4" s="71" t="s">
        <v>348</v>
      </c>
      <c r="B4" s="71" t="s">
        <v>349</v>
      </c>
      <c r="C4" s="71" t="s">
        <v>205</v>
      </c>
      <c r="D4" s="71" t="s">
        <v>9</v>
      </c>
      <c r="E4" s="71" t="s">
        <v>10</v>
      </c>
      <c r="F4" s="71" t="s">
        <v>11</v>
      </c>
    </row>
    <row r="5" customFormat="false" ht="15" hidden="false" customHeight="true" outlineLevel="0" collapsed="false">
      <c r="A5" s="58" t="s">
        <v>350</v>
      </c>
      <c r="B5" s="59"/>
      <c r="C5" s="59"/>
      <c r="D5" s="59"/>
      <c r="E5" s="59"/>
      <c r="F5" s="59"/>
    </row>
    <row r="6" customFormat="false" ht="15" hidden="false" customHeight="true" outlineLevel="0" collapsed="false">
      <c r="A6" s="60" t="s">
        <v>351</v>
      </c>
      <c r="B6" s="72" t="s">
        <v>352</v>
      </c>
      <c r="D6" s="67" t="n">
        <f aca="false">C8</f>
        <v>2137</v>
      </c>
      <c r="E6" s="67" t="n">
        <f aca="false">D8</f>
        <v>2203.15</v>
      </c>
      <c r="F6" s="67" t="n">
        <f aca="false">E8</f>
        <v>2272.45</v>
      </c>
    </row>
    <row r="7" customFormat="false" ht="15" hidden="false" customHeight="true" outlineLevel="0" collapsed="false">
      <c r="A7" s="60" t="s">
        <v>353</v>
      </c>
      <c r="B7" s="72" t="s">
        <v>354</v>
      </c>
      <c r="C7" s="73" t="n">
        <f aca="false">Historical!G42-Historical!F42</f>
        <v>80</v>
      </c>
      <c r="D7" s="67" t="n">
        <f aca="false">Drivers!C7*Drivers!C6</f>
        <v>66.15</v>
      </c>
      <c r="E7" s="67" t="n">
        <f aca="false">Drivers!D6*Drivers!D7</f>
        <v>69.3</v>
      </c>
      <c r="F7" s="67" t="n">
        <f aca="false">Drivers!E6*Drivers!E7</f>
        <v>69.3</v>
      </c>
    </row>
    <row r="8" customFormat="false" ht="15" hidden="false" customHeight="true" outlineLevel="0" collapsed="false">
      <c r="A8" s="60" t="s">
        <v>355</v>
      </c>
      <c r="B8" s="72" t="s">
        <v>356</v>
      </c>
      <c r="C8" s="73" t="n">
        <f aca="false">Historical!G42</f>
        <v>2137</v>
      </c>
      <c r="D8" s="67" t="n">
        <f aca="false">D6+D7</f>
        <v>2203.15</v>
      </c>
      <c r="E8" s="67" t="n">
        <f aca="false">E6+E7</f>
        <v>2272.45</v>
      </c>
      <c r="F8" s="67" t="n">
        <f aca="false">F6+F7</f>
        <v>2341.75</v>
      </c>
    </row>
    <row r="9" customFormat="false" ht="15" hidden="false" customHeight="true" outlineLevel="0" collapsed="false">
      <c r="A9" s="58" t="s">
        <v>357</v>
      </c>
      <c r="B9" s="59"/>
      <c r="C9" s="59"/>
      <c r="D9" s="59"/>
      <c r="E9" s="59"/>
      <c r="F9" s="59"/>
    </row>
    <row r="10" customFormat="false" ht="15" hidden="false" customHeight="true" outlineLevel="0" collapsed="false">
      <c r="A10" s="60" t="s">
        <v>17</v>
      </c>
      <c r="B10" s="72" t="s">
        <v>358</v>
      </c>
      <c r="C10" s="74" t="n">
        <f aca="false">Historical!G47</f>
        <v>0.024</v>
      </c>
      <c r="D10" s="64" t="n">
        <f aca="false">Drivers!C8</f>
        <v>0.026</v>
      </c>
      <c r="E10" s="64" t="n">
        <f aca="false">Drivers!D8</f>
        <v>0.03</v>
      </c>
      <c r="F10" s="64" t="n">
        <f aca="false">Drivers!E8</f>
        <v>0.03</v>
      </c>
    </row>
    <row r="11" customFormat="false" ht="15" hidden="false" customHeight="true" outlineLevel="0" collapsed="false">
      <c r="A11" s="60" t="s">
        <v>359</v>
      </c>
      <c r="B11" s="72" t="s">
        <v>360</v>
      </c>
      <c r="C11" s="75" t="n">
        <f aca="false">Historical!G49</f>
        <v>0.904721030042919</v>
      </c>
      <c r="D11" s="70" t="n">
        <f aca="false">C11*(1+D10)</f>
        <v>0.928243776824034</v>
      </c>
      <c r="E11" s="70" t="n">
        <f aca="false">D11*(1+E10)</f>
        <v>0.956091090128755</v>
      </c>
      <c r="F11" s="70" t="n">
        <f aca="false">E11*(1+F10)</f>
        <v>0.984773822832618</v>
      </c>
    </row>
    <row r="12" customFormat="false" ht="15" hidden="false" customHeight="true" outlineLevel="0" collapsed="false">
      <c r="A12" s="60" t="s">
        <v>19</v>
      </c>
      <c r="B12" s="72" t="s">
        <v>358</v>
      </c>
      <c r="D12" s="64" t="n">
        <f aca="false">Drivers!C9</f>
        <v>0.85</v>
      </c>
      <c r="E12" s="64" t="n">
        <f aca="false">Drivers!D9</f>
        <v>0.85</v>
      </c>
      <c r="F12" s="64" t="n">
        <f aca="false">Drivers!E9</f>
        <v>0.85</v>
      </c>
    </row>
    <row r="13" customFormat="false" ht="15" hidden="false" customHeight="true" outlineLevel="0" collapsed="false">
      <c r="A13" s="58" t="s">
        <v>361</v>
      </c>
      <c r="B13" s="59"/>
      <c r="C13" s="59"/>
      <c r="D13" s="59"/>
      <c r="E13" s="59"/>
      <c r="F13" s="59"/>
    </row>
    <row r="14" customFormat="false" ht="15" hidden="false" customHeight="true" outlineLevel="0" collapsed="false">
      <c r="A14" s="60" t="s">
        <v>362</v>
      </c>
      <c r="B14" s="72" t="s">
        <v>363</v>
      </c>
      <c r="D14" s="65" t="n">
        <f aca="false">C17*(1+D10)</f>
        <v>1946.5272</v>
      </c>
      <c r="E14" s="65" t="n">
        <f aca="false">D17*(1+E10)</f>
        <v>2064.30941894949</v>
      </c>
      <c r="F14" s="65" t="n">
        <f aca="false">E17*(1+F10)</f>
        <v>2182.92843759661</v>
      </c>
    </row>
    <row r="15" customFormat="false" ht="28.5" hidden="false" customHeight="true" outlineLevel="0" collapsed="false">
      <c r="A15" s="60" t="s">
        <v>364</v>
      </c>
      <c r="B15" s="72" t="s">
        <v>365</v>
      </c>
      <c r="D15" s="65" t="n">
        <f aca="false">C7*(1-Drivers!C36)*D11*D12</f>
        <v>31.5602884120172</v>
      </c>
      <c r="E15" s="65" t="n">
        <f aca="false">D7*(1-Drivers!D36)*E11*E12</f>
        <v>26.8793058851073</v>
      </c>
      <c r="F15" s="65" t="n">
        <f aca="false">E7*(1-Drivers!E36)*F11*F12</f>
        <v>29.0040510169777</v>
      </c>
    </row>
    <row r="16" customFormat="false" ht="28.5" hidden="false" customHeight="true" outlineLevel="0" collapsed="false">
      <c r="A16" s="60" t="s">
        <v>366</v>
      </c>
      <c r="B16" s="72" t="s">
        <v>367</v>
      </c>
      <c r="D16" s="65" t="n">
        <f aca="false">D7*Drivers!C36*D11*D12</f>
        <v>26.0964134806867</v>
      </c>
      <c r="E16" s="65" t="n">
        <f aca="false">E7*Drivers!D36*E11*E12</f>
        <v>28.1592728320172</v>
      </c>
      <c r="F16" s="65" t="n">
        <f aca="false">F7*Drivers!E36*F11*F12</f>
        <v>29.0040510169777</v>
      </c>
    </row>
    <row r="17" customFormat="false" ht="15" hidden="false" customHeight="true" outlineLevel="0" collapsed="false">
      <c r="A17" s="62" t="s">
        <v>361</v>
      </c>
      <c r="B17" s="72" t="s">
        <v>368</v>
      </c>
      <c r="C17" s="76" t="n">
        <f aca="false">Historical!G36</f>
        <v>1897.2</v>
      </c>
      <c r="D17" s="65" t="n">
        <f aca="false">D14+D15+D16</f>
        <v>2004.1839018927</v>
      </c>
      <c r="E17" s="65" t="n">
        <f aca="false">E14+E15+E16</f>
        <v>2119.34799766661</v>
      </c>
      <c r="F17" s="65" t="n">
        <f aca="false">F14+F15+F16</f>
        <v>2240.93653963056</v>
      </c>
    </row>
    <row r="18" customFormat="false" ht="15" hidden="false" customHeight="true" outlineLevel="0" collapsed="false">
      <c r="A18" s="60" t="s">
        <v>369</v>
      </c>
      <c r="B18" s="72" t="s">
        <v>370</v>
      </c>
      <c r="C18" s="76" t="n">
        <f aca="false">Historical!G37</f>
        <v>254</v>
      </c>
      <c r="D18" s="65" t="n">
        <f aca="false">C18*(1+Drivers!C10)</f>
        <v>279.4</v>
      </c>
      <c r="E18" s="65" t="n">
        <f aca="false">D18*(1+Drivers!D10)</f>
        <v>301.752</v>
      </c>
      <c r="F18" s="65" t="n">
        <f aca="false">E18*(1+Drivers!E10)</f>
        <v>325.89216</v>
      </c>
    </row>
    <row r="19" customFormat="false" ht="15" hidden="false" customHeight="true" outlineLevel="0" collapsed="false">
      <c r="A19" s="62" t="s">
        <v>371</v>
      </c>
      <c r="B19" s="72" t="s">
        <v>372</v>
      </c>
      <c r="C19" s="76" t="n">
        <f aca="false">Historical!G7</f>
        <v>2151.2</v>
      </c>
      <c r="D19" s="65" t="n">
        <f aca="false">D17+D18</f>
        <v>2283.5839018927</v>
      </c>
      <c r="E19" s="65" t="n">
        <f aca="false">E17+E18</f>
        <v>2421.09999766661</v>
      </c>
      <c r="F19" s="65" t="n">
        <f aca="false">F17+F18</f>
        <v>2566.82869963056</v>
      </c>
    </row>
    <row r="20" customFormat="false" ht="15" hidden="false" customHeight="true" outlineLevel="0" collapsed="false">
      <c r="A20" s="60" t="s">
        <v>373</v>
      </c>
      <c r="B20" s="72" t="s">
        <v>374</v>
      </c>
      <c r="D20" s="64" t="n">
        <f aca="false">(D19/C19)-1</f>
        <v>0.0615395601955673</v>
      </c>
      <c r="E20" s="64" t="n">
        <f aca="false">(E19/D19)-1</f>
        <v>0.0602194189843115</v>
      </c>
      <c r="F20" s="64" t="n">
        <f aca="false">(F19/E19)-1</f>
        <v>0.0601911123474468</v>
      </c>
    </row>
    <row r="21" customFormat="false" ht="15" hidden="false" customHeight="true" outlineLevel="0" collapsed="false">
      <c r="A21" s="58" t="s">
        <v>375</v>
      </c>
      <c r="B21" s="59"/>
      <c r="C21" s="59"/>
      <c r="D21" s="59"/>
      <c r="E21" s="59"/>
      <c r="F21" s="59"/>
    </row>
    <row r="22" customFormat="false" ht="15" hidden="false" customHeight="true" outlineLevel="0" collapsed="false">
      <c r="A22" s="60" t="s">
        <v>376</v>
      </c>
      <c r="B22" s="72" t="s">
        <v>216</v>
      </c>
      <c r="D22" s="67" t="n">
        <f aca="false">IF(D8="","",D8-Forecast!H42)</f>
        <v>0</v>
      </c>
      <c r="E22" s="67" t="n">
        <f aca="false">IF(E8="","",E8-Forecast!I42)</f>
        <v>0</v>
      </c>
      <c r="F22" s="67" t="n">
        <f aca="false">IF(F8="","",F8-Forecast!J42)</f>
        <v>0</v>
      </c>
    </row>
    <row r="24" customFormat="false" ht="15" hidden="false" customHeight="true" outlineLevel="0" collapsed="false">
      <c r="A24" s="77" t="s">
        <v>377</v>
      </c>
    </row>
    <row r="25" customFormat="false" ht="15" hidden="false" customHeight="true" outlineLevel="0" collapsed="false">
      <c r="A25" s="60" t="s">
        <v>378</v>
      </c>
      <c r="B25" s="72" t="s">
        <v>379</v>
      </c>
      <c r="C25" s="68" t="n">
        <v>0.072</v>
      </c>
    </row>
    <row r="26" customFormat="false" ht="15" hidden="false" customHeight="true" outlineLevel="0" collapsed="false">
      <c r="A26" s="60" t="s">
        <v>380</v>
      </c>
      <c r="B26" s="72" t="s">
        <v>381</v>
      </c>
      <c r="C26" s="61" t="n">
        <v>2305.8</v>
      </c>
    </row>
    <row r="27" customFormat="false" ht="15" hidden="false" customHeight="true" outlineLevel="0" collapsed="false">
      <c r="A27" s="60" t="s">
        <v>382</v>
      </c>
      <c r="D27" s="64" t="n">
        <f aca="false">IF(D19="","",D19/C26-1)</f>
        <v>-0.00963487644518002</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6796875" defaultRowHeight="15" zeroHeight="false" outlineLevelRow="0" outlineLevelCol="0"/>
  <cols>
    <col collapsed="false" customWidth="true" hidden="false" outlineLevel="0" max="1" min="1" style="1" width="52"/>
    <col collapsed="false" customWidth="true" hidden="false" outlineLevel="0" max="2" min="2" style="1" width="44"/>
    <col collapsed="false" customWidth="true" hidden="false" outlineLevel="0" max="10" min="3" style="1" width="12"/>
  </cols>
  <sheetData>
    <row r="1" customFormat="false" ht="21.75" hidden="false" customHeight="true" outlineLevel="0" collapsed="false">
      <c r="A1" s="2" t="s">
        <v>383</v>
      </c>
    </row>
    <row r="2" customFormat="false" ht="16.5" hidden="false" customHeight="true" outlineLevel="0" collapsed="false">
      <c r="A2" s="3" t="s">
        <v>384</v>
      </c>
      <c r="B2" s="3"/>
      <c r="C2" s="3"/>
      <c r="D2" s="3"/>
      <c r="E2" s="3"/>
      <c r="F2" s="3"/>
      <c r="G2" s="3"/>
      <c r="H2" s="3"/>
      <c r="I2" s="3"/>
      <c r="J2" s="3"/>
    </row>
    <row r="3" customFormat="false" ht="15" hidden="false" customHeight="true" outlineLevel="0" collapsed="false">
      <c r="A3" s="56" t="s">
        <v>385</v>
      </c>
    </row>
    <row r="4" customFormat="false" ht="15" hidden="false" customHeight="true" outlineLevel="0" collapsed="false">
      <c r="A4" s="54" t="s">
        <v>30</v>
      </c>
      <c r="B4" s="54" t="s">
        <v>349</v>
      </c>
      <c r="C4" s="55" t="s">
        <v>201</v>
      </c>
      <c r="D4" s="55" t="s">
        <v>202</v>
      </c>
      <c r="E4" s="55" t="s">
        <v>203</v>
      </c>
      <c r="F4" s="55" t="s">
        <v>204</v>
      </c>
      <c r="G4" s="55" t="s">
        <v>205</v>
      </c>
      <c r="H4" s="55" t="s">
        <v>9</v>
      </c>
      <c r="I4" s="55" t="s">
        <v>10</v>
      </c>
      <c r="J4" s="55" t="s">
        <v>11</v>
      </c>
    </row>
    <row r="6" customFormat="false" ht="15" hidden="false" customHeight="true" outlineLevel="0" collapsed="false">
      <c r="A6" s="58" t="s">
        <v>212</v>
      </c>
      <c r="B6" s="59"/>
      <c r="C6" s="59"/>
      <c r="D6" s="59"/>
      <c r="E6" s="59"/>
      <c r="F6" s="59"/>
      <c r="G6" s="59"/>
      <c r="H6" s="59"/>
      <c r="I6" s="59"/>
      <c r="J6" s="59"/>
    </row>
    <row r="7" customFormat="false" ht="15" hidden="false" customHeight="true" outlineLevel="0" collapsed="false">
      <c r="A7" s="60" t="s">
        <v>32</v>
      </c>
      <c r="B7" s="56" t="s">
        <v>386</v>
      </c>
      <c r="C7" s="76" t="n">
        <f aca="false">Historical!C7</f>
        <v>1229.7</v>
      </c>
      <c r="D7" s="76" t="n">
        <f aca="false">Historical!D7</f>
        <v>1512.8</v>
      </c>
      <c r="E7" s="76" t="n">
        <f aca="false">Historical!E7</f>
        <v>1809.6</v>
      </c>
      <c r="F7" s="76" t="n">
        <f aca="false">Historical!F7</f>
        <v>2014.4</v>
      </c>
      <c r="G7" s="76" t="n">
        <f aca="false">Historical!G7</f>
        <v>2151.2</v>
      </c>
      <c r="H7" s="65" t="n">
        <f aca="false">H36+H37</f>
        <v>2283.5839018927</v>
      </c>
      <c r="I7" s="65" t="n">
        <f aca="false">I36+I37</f>
        <v>2421.09999766661</v>
      </c>
      <c r="J7" s="65" t="n">
        <f aca="false">J36+J37</f>
        <v>2566.82869963056</v>
      </c>
    </row>
    <row r="8" customFormat="false" ht="15" hidden="false" customHeight="true" outlineLevel="0" collapsed="false">
      <c r="A8" s="60" t="s">
        <v>214</v>
      </c>
      <c r="C8" s="76" t="n">
        <f aca="false">Historical!C8</f>
        <v>-447.7</v>
      </c>
      <c r="D8" s="76" t="n">
        <f aca="false">Historical!D8</f>
        <v>-574.5</v>
      </c>
      <c r="E8" s="76" t="n">
        <f aca="false">Historical!E8</f>
        <v>-710.5</v>
      </c>
      <c r="F8" s="76" t="n">
        <f aca="false">Historical!F8</f>
        <v>-770.8</v>
      </c>
      <c r="G8" s="76" t="n">
        <f aca="false">Historical!G8</f>
        <v>-829.1</v>
      </c>
      <c r="H8" s="65" t="n">
        <f aca="false">-H7*(1-Drivers!$C$21)</f>
        <v>-879.179802228691</v>
      </c>
      <c r="I8" s="65" t="n">
        <f aca="false">-I7*(1-Drivers!$D$21)</f>
        <v>-932.123499101645</v>
      </c>
      <c r="J8" s="65" t="n">
        <f aca="false">-J7*(1-Drivers!$E$21)</f>
        <v>-988.229049357767</v>
      </c>
    </row>
    <row r="9" customFormat="false" ht="15" hidden="false" customHeight="true" outlineLevel="0" collapsed="false">
      <c r="A9" s="62" t="s">
        <v>215</v>
      </c>
      <c r="C9" s="76" t="n">
        <f aca="false">Historical!C9</f>
        <v>782</v>
      </c>
      <c r="D9" s="76" t="n">
        <f aca="false">Historical!D9</f>
        <v>938.3</v>
      </c>
      <c r="E9" s="76" t="n">
        <f aca="false">Historical!E9</f>
        <v>1099.1</v>
      </c>
      <c r="F9" s="76" t="n">
        <f aca="false">Historical!F9</f>
        <v>1243.6</v>
      </c>
      <c r="G9" s="76" t="n">
        <f aca="false">Historical!G9</f>
        <v>1322.1</v>
      </c>
      <c r="H9" s="78" t="n">
        <f aca="false">H7+H8</f>
        <v>1404.40409966401</v>
      </c>
      <c r="I9" s="78" t="n">
        <f aca="false">I7+I8</f>
        <v>1488.97649856497</v>
      </c>
      <c r="J9" s="78" t="n">
        <f aca="false">J7+J8</f>
        <v>1578.5996502728</v>
      </c>
    </row>
    <row r="10" customFormat="false" ht="15" hidden="false" customHeight="true" outlineLevel="0" collapsed="false">
      <c r="A10" s="60" t="s">
        <v>217</v>
      </c>
      <c r="C10" s="76" t="n">
        <f aca="false">Historical!C10</f>
        <v>-567.6</v>
      </c>
      <c r="D10" s="76" t="n">
        <f aca="false">Historical!D10</f>
        <v>-713.2</v>
      </c>
      <c r="E10" s="76" t="n">
        <f aca="false">Historical!E10</f>
        <v>-844.2</v>
      </c>
      <c r="F10" s="76" t="n">
        <f aca="false">Historical!F10</f>
        <v>-950.1</v>
      </c>
      <c r="G10" s="76" t="n">
        <f aca="false">Historical!G10</f>
        <v>-1036.3</v>
      </c>
      <c r="H10" s="65" t="n">
        <f aca="false">Drivers!$C$11*H7-H7-H8+H153</f>
        <v>-1096.1202729085</v>
      </c>
      <c r="I10" s="65" t="n">
        <f aca="false">Drivers!$D$11*I7-I7-I8+I153</f>
        <v>-1157.28579888464</v>
      </c>
      <c r="J10" s="65" t="n">
        <f aca="false">Drivers!$E$11*J7-J7-J8+J153</f>
        <v>-1219.24363232452</v>
      </c>
    </row>
    <row r="11" customFormat="false" ht="15" hidden="false" customHeight="true" outlineLevel="0" collapsed="false">
      <c r="A11" s="60" t="s">
        <v>218</v>
      </c>
      <c r="C11" s="76" t="n">
        <f aca="false">Historical!C11</f>
        <v>-61.2</v>
      </c>
      <c r="D11" s="76" t="n">
        <f aca="false">Historical!D11</f>
        <v>-70.7</v>
      </c>
      <c r="E11" s="76" t="n">
        <f aca="false">Historical!E11</f>
        <v>-82.9</v>
      </c>
      <c r="F11" s="76" t="n">
        <f aca="false">Historical!F11</f>
        <v>-97.9</v>
      </c>
      <c r="G11" s="76" t="n">
        <f aca="false">Historical!G11</f>
        <v>-102.1</v>
      </c>
      <c r="H11" s="65" t="n">
        <f aca="false">-H153+H21</f>
        <v>-152.328443388957</v>
      </c>
      <c r="I11" s="65" t="n">
        <f aca="false">-I153+I21</f>
        <v>-123.791699890331</v>
      </c>
      <c r="J11" s="65" t="n">
        <f aca="false">-J153+J21</f>
        <v>-125.640948882636</v>
      </c>
    </row>
    <row r="12" customFormat="false" ht="15" hidden="false" customHeight="true" outlineLevel="0" collapsed="false">
      <c r="A12" s="60" t="s">
        <v>219</v>
      </c>
      <c r="C12" s="76" t="n">
        <f aca="false">Historical!C12</f>
        <v>0</v>
      </c>
      <c r="D12" s="76" t="n">
        <f aca="false">Historical!D12</f>
        <v>0</v>
      </c>
      <c r="E12" s="76" t="n">
        <f aca="false">Historical!E12</f>
        <v>20.3</v>
      </c>
      <c r="F12" s="76" t="n">
        <f aca="false">Historical!F12</f>
        <v>13.8</v>
      </c>
      <c r="G12" s="76" t="n">
        <f aca="false">Historical!G12</f>
        <v>0</v>
      </c>
      <c r="H12" s="65" t="n">
        <f aca="false">0</f>
        <v>0</v>
      </c>
      <c r="I12" s="65" t="n">
        <f aca="false">0</f>
        <v>0</v>
      </c>
      <c r="J12" s="65" t="n">
        <f aca="false">0</f>
        <v>0</v>
      </c>
    </row>
    <row r="13" customFormat="false" ht="15" hidden="false" customHeight="true" outlineLevel="0" collapsed="false">
      <c r="A13" s="62" t="s">
        <v>220</v>
      </c>
      <c r="C13" s="76" t="n">
        <f aca="false">Historical!C13</f>
        <v>153.2</v>
      </c>
      <c r="D13" s="76" t="n">
        <f aca="false">Historical!D13</f>
        <v>154.4</v>
      </c>
      <c r="E13" s="76" t="n">
        <f aca="false">Historical!E13</f>
        <v>192.3</v>
      </c>
      <c r="F13" s="76" t="n">
        <f aca="false">Historical!F13</f>
        <v>209.4</v>
      </c>
      <c r="G13" s="76" t="n">
        <f aca="false">Historical!G13</f>
        <v>183.7</v>
      </c>
      <c r="H13" s="78" t="n">
        <f aca="false">H9+H10+H11+H12</f>
        <v>155.955383366558</v>
      </c>
      <c r="I13" s="78" t="n">
        <f aca="false">I9+I10+I11+I12</f>
        <v>207.898999789995</v>
      </c>
      <c r="J13" s="78" t="n">
        <f aca="false">J9+J10+J11+J12</f>
        <v>233.715069065642</v>
      </c>
    </row>
    <row r="14" customFormat="false" ht="15" hidden="false" customHeight="true" outlineLevel="0" collapsed="false">
      <c r="A14" s="60" t="s">
        <v>221</v>
      </c>
      <c r="C14" s="76" t="n">
        <f aca="false">Historical!C14</f>
        <v>0</v>
      </c>
      <c r="D14" s="76" t="n">
        <f aca="false">Historical!D14</f>
        <v>1.4</v>
      </c>
      <c r="E14" s="76" t="n">
        <f aca="false">Historical!E14</f>
        <v>6.1</v>
      </c>
      <c r="F14" s="76" t="n">
        <f aca="false">Historical!F14</f>
        <v>8.1</v>
      </c>
      <c r="G14" s="76" t="n">
        <f aca="false">Historical!G14</f>
        <v>1.8</v>
      </c>
      <c r="H14" s="65" t="n">
        <f aca="false">H152</f>
        <v>2.124</v>
      </c>
      <c r="I14" s="65" t="n">
        <f aca="false">I152</f>
        <v>2.55125415219021</v>
      </c>
      <c r="J14" s="65" t="n">
        <f aca="false">J152</f>
        <v>3.12996206910663</v>
      </c>
    </row>
    <row r="15" customFormat="false" ht="15" hidden="false" customHeight="true" outlineLevel="0" collapsed="false">
      <c r="A15" s="60" t="s">
        <v>223</v>
      </c>
      <c r="C15" s="76" t="n">
        <f aca="false">Historical!C15</f>
        <v>-7.6</v>
      </c>
      <c r="D15" s="76" t="n">
        <f aca="false">Historical!D15</f>
        <v>-7.5</v>
      </c>
      <c r="E15" s="76" t="n">
        <f aca="false">Historical!E15</f>
        <v>-10.1</v>
      </c>
      <c r="F15" s="76" t="n">
        <f aca="false">Historical!F15</f>
        <v>-13.6</v>
      </c>
      <c r="G15" s="76" t="n">
        <f aca="false">Historical!G15</f>
        <v>-18.1</v>
      </c>
      <c r="H15" s="65" t="n">
        <f aca="false">-H150-H151</f>
        <v>-22.8404</v>
      </c>
      <c r="I15" s="65" t="n">
        <f aca="false">-I150-I151</f>
        <v>-23.5087223958821</v>
      </c>
      <c r="J15" s="65" t="n">
        <f aca="false">-J150-J151</f>
        <v>-24.2088696677585</v>
      </c>
    </row>
    <row r="16" customFormat="false" ht="15" hidden="false" customHeight="true" outlineLevel="0" collapsed="false">
      <c r="A16" s="62" t="s">
        <v>224</v>
      </c>
      <c r="C16" s="76" t="n">
        <f aca="false">Historical!C16</f>
        <v>145.6</v>
      </c>
      <c r="D16" s="76" t="n">
        <f aca="false">Historical!D16</f>
        <v>148.3</v>
      </c>
      <c r="E16" s="76" t="n">
        <f aca="false">Historical!E16</f>
        <v>188.3</v>
      </c>
      <c r="F16" s="76" t="n">
        <f aca="false">Historical!F16</f>
        <v>203.9</v>
      </c>
      <c r="G16" s="76" t="n">
        <f aca="false">Historical!G16</f>
        <v>167.4</v>
      </c>
      <c r="H16" s="78" t="n">
        <f aca="false">H13+H14+H15</f>
        <v>135.238983366558</v>
      </c>
      <c r="I16" s="78" t="n">
        <f aca="false">I13+I14+I15</f>
        <v>186.941531546303</v>
      </c>
      <c r="J16" s="78" t="n">
        <f aca="false">J13+J14+J15</f>
        <v>212.63616146699</v>
      </c>
    </row>
    <row r="17" customFormat="false" ht="15" hidden="false" customHeight="true" outlineLevel="0" collapsed="false">
      <c r="A17" s="60" t="s">
        <v>225</v>
      </c>
      <c r="B17" s="56" t="s">
        <v>387</v>
      </c>
      <c r="C17" s="76" t="n">
        <f aca="false">Historical!C17</f>
        <v>-28.1</v>
      </c>
      <c r="D17" s="76" t="n">
        <f aca="false">Historical!D17</f>
        <v>-28</v>
      </c>
      <c r="E17" s="76" t="n">
        <f aca="false">Historical!E17</f>
        <v>-45.8</v>
      </c>
      <c r="F17" s="76" t="n">
        <f aca="false">Historical!F17</f>
        <v>-50.5</v>
      </c>
      <c r="G17" s="76" t="n">
        <f aca="false">Historical!G17</f>
        <v>-45.2</v>
      </c>
      <c r="H17" s="65" t="n">
        <f aca="false">-Drivers!$C$18*H16</f>
        <v>-35.1621356753051</v>
      </c>
      <c r="I17" s="65" t="n">
        <f aca="false">-Drivers!$D$18*I16</f>
        <v>-48.6047982020388</v>
      </c>
      <c r="J17" s="65" t="n">
        <f aca="false">-Drivers!$E$18*J16</f>
        <v>-55.2854019814175</v>
      </c>
    </row>
    <row r="18" customFormat="false" ht="15" hidden="false" customHeight="true" outlineLevel="0" collapsed="false">
      <c r="A18" s="62" t="s">
        <v>226</v>
      </c>
      <c r="C18" s="76" t="n">
        <f aca="false">Historical!C18</f>
        <v>117.5</v>
      </c>
      <c r="D18" s="76" t="n">
        <f aca="false">Historical!D18</f>
        <v>120.3</v>
      </c>
      <c r="E18" s="76" t="n">
        <f aca="false">Historical!E18</f>
        <v>142.5</v>
      </c>
      <c r="F18" s="76" t="n">
        <f aca="false">Historical!F18</f>
        <v>153.4</v>
      </c>
      <c r="G18" s="76" t="n">
        <f aca="false">Historical!G18</f>
        <v>122.2</v>
      </c>
      <c r="H18" s="78" t="n">
        <f aca="false">H16+H17</f>
        <v>100.076847691253</v>
      </c>
      <c r="I18" s="78" t="n">
        <f aca="false">I16+I17</f>
        <v>138.336733344264</v>
      </c>
      <c r="J18" s="78" t="n">
        <f aca="false">J16+J17</f>
        <v>157.350759485573</v>
      </c>
    </row>
    <row r="20" customFormat="false" ht="15" hidden="false" customHeight="true" outlineLevel="0" collapsed="false">
      <c r="A20" s="58" t="s">
        <v>227</v>
      </c>
      <c r="B20" s="59"/>
      <c r="C20" s="59"/>
      <c r="D20" s="59"/>
      <c r="E20" s="59"/>
      <c r="F20" s="59"/>
      <c r="G20" s="59"/>
      <c r="H20" s="59"/>
      <c r="I20" s="59"/>
      <c r="J20" s="59"/>
    </row>
    <row r="21" customFormat="false" ht="15" hidden="false" customHeight="true" outlineLevel="0" collapsed="false">
      <c r="A21" s="60" t="s">
        <v>228</v>
      </c>
      <c r="B21" s="56" t="s">
        <v>388</v>
      </c>
      <c r="C21" s="76" t="n">
        <f aca="false">Historical!C21</f>
        <v>0</v>
      </c>
      <c r="D21" s="76" t="n">
        <f aca="false">Historical!D21</f>
        <v>0</v>
      </c>
      <c r="E21" s="76" t="n">
        <f aca="false">Historical!E21</f>
        <v>20.6</v>
      </c>
      <c r="F21" s="76" t="n">
        <f aca="false">Historical!F21</f>
        <v>14.1</v>
      </c>
      <c r="G21" s="76" t="n">
        <f aca="false">Historical!G21</f>
        <v>-3.8</v>
      </c>
      <c r="H21" s="65" t="n">
        <f aca="false">-H154</f>
        <v>-45</v>
      </c>
      <c r="I21" s="65" t="n">
        <f aca="false">-I154</f>
        <v>-10</v>
      </c>
      <c r="J21" s="65" t="n">
        <f aca="false">-J154</f>
        <v>-5</v>
      </c>
    </row>
    <row r="22" customFormat="false" ht="15" hidden="false" customHeight="true" outlineLevel="0" collapsed="false">
      <c r="A22" s="60" t="s">
        <v>230</v>
      </c>
      <c r="C22" s="76" t="n">
        <f aca="false">Historical!C22</f>
        <v>0</v>
      </c>
      <c r="D22" s="76" t="n">
        <f aca="false">Historical!D22</f>
        <v>0</v>
      </c>
      <c r="E22" s="76" t="n">
        <f aca="false">Historical!E22</f>
        <v>0</v>
      </c>
      <c r="F22" s="76" t="n">
        <f aca="false">Historical!F22</f>
        <v>0</v>
      </c>
      <c r="G22" s="76" t="n">
        <f aca="false">Historical!G22</f>
        <v>-0.7</v>
      </c>
      <c r="H22" s="65" t="n">
        <f aca="false">0</f>
        <v>0</v>
      </c>
      <c r="I22" s="65" t="n">
        <f aca="false">0</f>
        <v>0</v>
      </c>
      <c r="J22" s="65" t="n">
        <f aca="false">0</f>
        <v>0</v>
      </c>
    </row>
    <row r="23" customFormat="false" ht="15" hidden="false" customHeight="true" outlineLevel="0" collapsed="false">
      <c r="A23" s="60" t="s">
        <v>232</v>
      </c>
      <c r="C23" s="76" t="n">
        <f aca="false">Historical!C23</f>
        <v>0</v>
      </c>
      <c r="D23" s="76" t="n">
        <f aca="false">Historical!D23</f>
        <v>0</v>
      </c>
      <c r="E23" s="76" t="n">
        <f aca="false">Historical!E23</f>
        <v>-4.8</v>
      </c>
      <c r="F23" s="76" t="n">
        <f aca="false">Historical!F23</f>
        <v>-1.7</v>
      </c>
      <c r="G23" s="76" t="n">
        <f aca="false">Historical!G23</f>
        <v>0.9</v>
      </c>
      <c r="H23" s="65" t="n">
        <f aca="false">-H21*Drivers!$C$18</f>
        <v>11.7</v>
      </c>
      <c r="I23" s="65" t="n">
        <f aca="false">-I21*Drivers!$D$18</f>
        <v>2.60000000000001</v>
      </c>
      <c r="J23" s="65" t="n">
        <f aca="false">-J21*Drivers!$E$18</f>
        <v>1.3</v>
      </c>
    </row>
    <row r="24" customFormat="false" ht="15" hidden="false" customHeight="true" outlineLevel="0" collapsed="false">
      <c r="A24" s="62" t="s">
        <v>33</v>
      </c>
      <c r="B24" s="56" t="s">
        <v>389</v>
      </c>
      <c r="C24" s="76" t="n">
        <f aca="false">Historical!C24</f>
        <v>153.2</v>
      </c>
      <c r="D24" s="76" t="n">
        <f aca="false">Historical!D24</f>
        <v>154.4</v>
      </c>
      <c r="E24" s="76" t="n">
        <f aca="false">Historical!E24</f>
        <v>171.7</v>
      </c>
      <c r="F24" s="76" t="n">
        <f aca="false">Historical!F24</f>
        <v>195.3</v>
      </c>
      <c r="G24" s="76" t="n">
        <f aca="false">Historical!G24</f>
        <v>187.5</v>
      </c>
      <c r="H24" s="78" t="n">
        <f aca="false">H13-H21</f>
        <v>200.955383366558</v>
      </c>
      <c r="I24" s="78" t="n">
        <f aca="false">I13-I21</f>
        <v>217.898999789995</v>
      </c>
      <c r="J24" s="78" t="n">
        <f aca="false">J13-J21</f>
        <v>238.715069065642</v>
      </c>
    </row>
    <row r="25" customFormat="false" ht="15" hidden="false" customHeight="true" outlineLevel="0" collapsed="false">
      <c r="A25" s="62" t="s">
        <v>34</v>
      </c>
      <c r="C25" s="76" t="n">
        <f aca="false">Historical!C25</f>
        <v>145.6</v>
      </c>
      <c r="D25" s="76" t="n">
        <f aca="false">Historical!D25</f>
        <v>148.3</v>
      </c>
      <c r="E25" s="76" t="n">
        <f aca="false">Historical!E25</f>
        <v>167.7</v>
      </c>
      <c r="F25" s="76" t="n">
        <f aca="false">Historical!F25</f>
        <v>189.8</v>
      </c>
      <c r="G25" s="76" t="n">
        <f aca="false">Historical!G25</f>
        <v>171.9</v>
      </c>
      <c r="H25" s="78" t="n">
        <f aca="false">H16-H21-H22</f>
        <v>180.238983366558</v>
      </c>
      <c r="I25" s="78" t="n">
        <f aca="false">I16-I21-I22</f>
        <v>196.941531546303</v>
      </c>
      <c r="J25" s="78" t="n">
        <f aca="false">J16-J21-J22</f>
        <v>217.63616146699</v>
      </c>
    </row>
    <row r="26" customFormat="false" ht="15" hidden="false" customHeight="true" outlineLevel="0" collapsed="false">
      <c r="A26" s="60" t="s">
        <v>23</v>
      </c>
      <c r="C26" s="74" t="n">
        <f aca="false">Historical!C26</f>
        <v>0.124583231682524</v>
      </c>
      <c r="D26" s="74" t="n">
        <f aca="false">Historical!D26</f>
        <v>0.102062400846113</v>
      </c>
      <c r="E26" s="74" t="n">
        <f aca="false">Historical!E26</f>
        <v>0.0948828470380194</v>
      </c>
      <c r="F26" s="74" t="n">
        <f aca="false">Historical!F26</f>
        <v>0.0969519459888801</v>
      </c>
      <c r="G26" s="74" t="n">
        <f aca="false">Historical!G26</f>
        <v>0.0871606545184083</v>
      </c>
      <c r="H26" s="64" t="n">
        <f aca="false">IF(H7=0,0,H24/H7)</f>
        <v>0.0880000000000001</v>
      </c>
      <c r="I26" s="64" t="n">
        <f aca="false">IF(I7=0,0,I24/I7)</f>
        <v>0.09</v>
      </c>
      <c r="J26" s="64" t="n">
        <f aca="false">IF(J7=0,0,J24/J7)</f>
        <v>0.0929999999999999</v>
      </c>
    </row>
    <row r="27" customFormat="false" ht="15" hidden="false" customHeight="true" outlineLevel="0" collapsed="false">
      <c r="A27" s="60" t="s">
        <v>233</v>
      </c>
      <c r="C27" s="74" t="n">
        <f aca="false">Historical!C27</f>
        <v>0.192994505494506</v>
      </c>
      <c r="D27" s="74" t="n">
        <f aca="false">Historical!D27</f>
        <v>0.188806473364801</v>
      </c>
      <c r="E27" s="74" t="n">
        <f aca="false">Historical!E27</f>
        <v>0.243228890069039</v>
      </c>
      <c r="F27" s="74" t="n">
        <f aca="false">Historical!F27</f>
        <v>0.247670426679745</v>
      </c>
      <c r="G27" s="74" t="n">
        <f aca="false">Historical!G27</f>
        <v>0.270011947431302</v>
      </c>
      <c r="H27" s="64" t="n">
        <f aca="false">IF(H16=0,0,-H17/H16)</f>
        <v>0.26</v>
      </c>
      <c r="I27" s="64" t="n">
        <f aca="false">IF(I16=0,0,-I17/I16)</f>
        <v>0.26</v>
      </c>
      <c r="J27" s="64" t="n">
        <f aca="false">IF(J16=0,0,-J17/J16)</f>
        <v>0.26</v>
      </c>
    </row>
    <row r="29" customFormat="false" ht="15" hidden="false" customHeight="true" outlineLevel="0" collapsed="false">
      <c r="A29" s="58" t="s">
        <v>234</v>
      </c>
      <c r="B29" s="59"/>
      <c r="C29" s="59"/>
      <c r="D29" s="59"/>
      <c r="E29" s="59"/>
      <c r="F29" s="59"/>
      <c r="G29" s="59"/>
      <c r="H29" s="59"/>
      <c r="I29" s="59"/>
      <c r="J29" s="59"/>
    </row>
    <row r="30" customFormat="false" ht="15" hidden="false" customHeight="true" outlineLevel="0" collapsed="false">
      <c r="A30" s="60" t="s">
        <v>235</v>
      </c>
      <c r="C30" s="76" t="n">
        <f aca="false">Historical!C30</f>
        <v>153.2</v>
      </c>
      <c r="D30" s="76" t="n">
        <f aca="false">Historical!D30</f>
        <v>154.4</v>
      </c>
      <c r="E30" s="76" t="n">
        <f aca="false">Historical!E30</f>
        <v>192.3</v>
      </c>
      <c r="F30" s="76" t="n">
        <f aca="false">Historical!F30</f>
        <v>209.4</v>
      </c>
      <c r="G30" s="76" t="n">
        <f aca="false">Historical!G30</f>
        <v>183.7</v>
      </c>
      <c r="H30" s="79"/>
      <c r="I30" s="79"/>
      <c r="J30" s="79"/>
    </row>
    <row r="31" customFormat="false" ht="15" hidden="false" customHeight="true" outlineLevel="0" collapsed="false">
      <c r="A31" s="60" t="s">
        <v>236</v>
      </c>
      <c r="C31" s="76" t="n">
        <f aca="false">Historical!C31</f>
        <v>145.6</v>
      </c>
      <c r="D31" s="76" t="n">
        <f aca="false">Historical!D31</f>
        <v>148.3</v>
      </c>
      <c r="E31" s="76" t="n">
        <f aca="false">Historical!E31</f>
        <v>188.3</v>
      </c>
      <c r="F31" s="76" t="n">
        <f aca="false">Historical!F31</f>
        <v>203.9</v>
      </c>
      <c r="G31" s="76" t="n">
        <f aca="false">Historical!G31</f>
        <v>167.4</v>
      </c>
      <c r="H31" s="79"/>
      <c r="I31" s="79"/>
      <c r="J31" s="79"/>
    </row>
    <row r="32" customFormat="false" ht="15" hidden="false" customHeight="true" outlineLevel="0" collapsed="false">
      <c r="A32" s="60" t="s">
        <v>237</v>
      </c>
      <c r="C32" s="76" t="n">
        <f aca="false">Historical!C32</f>
        <v>117.5</v>
      </c>
      <c r="D32" s="76" t="n">
        <f aca="false">Historical!D32</f>
        <v>120.3</v>
      </c>
      <c r="E32" s="76" t="n">
        <f aca="false">Historical!E32</f>
        <v>142.5</v>
      </c>
      <c r="F32" s="76" t="n">
        <f aca="false">Historical!F32</f>
        <v>153.4</v>
      </c>
      <c r="G32" s="76" t="n">
        <f aca="false">Historical!G32</f>
        <v>122.2</v>
      </c>
      <c r="H32" s="79"/>
      <c r="I32" s="79"/>
      <c r="J32" s="79"/>
    </row>
    <row r="33" customFormat="false" ht="15" hidden="false" customHeight="true" outlineLevel="0" collapsed="false">
      <c r="A33" s="60" t="s">
        <v>238</v>
      </c>
      <c r="C33" s="76" t="n">
        <f aca="false">Historical!C33</f>
        <v>145.6</v>
      </c>
      <c r="D33" s="76" t="n">
        <f aca="false">Historical!D33</f>
        <v>148.3</v>
      </c>
      <c r="E33" s="76" t="n">
        <f aca="false">Historical!E33</f>
        <v>167.7</v>
      </c>
      <c r="F33" s="76" t="n">
        <f aca="false">Historical!F33</f>
        <v>189.8</v>
      </c>
      <c r="G33" s="76" t="n">
        <f aca="false">Historical!G33</f>
        <v>171.9</v>
      </c>
      <c r="H33" s="79"/>
      <c r="I33" s="79"/>
      <c r="J33" s="79"/>
    </row>
    <row r="35" customFormat="false" ht="15" hidden="false" customHeight="true" outlineLevel="0" collapsed="false">
      <c r="A35" s="58" t="s">
        <v>240</v>
      </c>
      <c r="B35" s="59"/>
      <c r="C35" s="59"/>
      <c r="D35" s="59"/>
      <c r="E35" s="59"/>
      <c r="F35" s="59"/>
      <c r="G35" s="59"/>
      <c r="H35" s="59"/>
      <c r="I35" s="59"/>
      <c r="J35" s="59"/>
    </row>
    <row r="36" customFormat="false" ht="15" hidden="false" customHeight="true" outlineLevel="0" collapsed="false">
      <c r="A36" s="60" t="s">
        <v>241</v>
      </c>
      <c r="B36" s="56" t="s">
        <v>390</v>
      </c>
      <c r="C36" s="76" t="n">
        <f aca="false">Historical!C36</f>
        <v>1098.2</v>
      </c>
      <c r="D36" s="76" t="n">
        <f aca="false">Historical!D36</f>
        <v>1352.3</v>
      </c>
      <c r="E36" s="76" t="n">
        <f aca="false">Historical!E36</f>
        <v>1610.9</v>
      </c>
      <c r="F36" s="76" t="n">
        <f aca="false">Historical!F36</f>
        <v>1781.7</v>
      </c>
      <c r="G36" s="76" t="n">
        <f aca="false">Historical!G36</f>
        <v>1897.2</v>
      </c>
      <c r="H36" s="65" t="n">
        <f aca="false">Revenue!D17</f>
        <v>2004.1839018927</v>
      </c>
      <c r="I36" s="65" t="n">
        <f aca="false">Revenue!E17</f>
        <v>2119.34799766661</v>
      </c>
      <c r="J36" s="65" t="n">
        <f aca="false">Revenue!F17</f>
        <v>2240.93653963056</v>
      </c>
    </row>
    <row r="37" customFormat="false" ht="15" hidden="false" customHeight="true" outlineLevel="0" collapsed="false">
      <c r="A37" s="60" t="s">
        <v>243</v>
      </c>
      <c r="B37" s="56" t="s">
        <v>391</v>
      </c>
      <c r="C37" s="76" t="n">
        <f aca="false">Historical!C37</f>
        <v>131.5</v>
      </c>
      <c r="D37" s="76" t="n">
        <f aca="false">Historical!D37</f>
        <v>160.5</v>
      </c>
      <c r="E37" s="76" t="n">
        <f aca="false">Historical!E37</f>
        <v>198.7</v>
      </c>
      <c r="F37" s="76" t="n">
        <f aca="false">Historical!F37</f>
        <v>232.7</v>
      </c>
      <c r="G37" s="76" t="n">
        <f aca="false">Historical!G37</f>
        <v>254</v>
      </c>
      <c r="H37" s="65" t="n">
        <f aca="false">Revenue!D18</f>
        <v>279.4</v>
      </c>
      <c r="I37" s="65" t="n">
        <f aca="false">Revenue!E18</f>
        <v>301.752</v>
      </c>
      <c r="J37" s="65" t="n">
        <f aca="false">Revenue!F18</f>
        <v>325.89216</v>
      </c>
    </row>
    <row r="38" customFormat="false" ht="15" hidden="false" customHeight="true" outlineLevel="0" collapsed="false">
      <c r="A38" s="60" t="s">
        <v>244</v>
      </c>
      <c r="C38" s="76" t="n">
        <f aca="false">Historical!C38</f>
        <v>0</v>
      </c>
      <c r="D38" s="76" t="n">
        <f aca="false">Historical!D38</f>
        <v>0</v>
      </c>
      <c r="E38" s="76" t="n">
        <f aca="false">Historical!E38</f>
        <v>0</v>
      </c>
      <c r="F38" s="76" t="n">
        <f aca="false">Historical!F38</f>
        <v>0</v>
      </c>
      <c r="G38" s="76" t="n">
        <f aca="false">Historical!G38</f>
        <v>0</v>
      </c>
      <c r="H38" s="65" t="n">
        <f aca="false">H36+H37-H7</f>
        <v>0</v>
      </c>
      <c r="I38" s="65" t="n">
        <f aca="false">I36+I37-I7</f>
        <v>0</v>
      </c>
      <c r="J38" s="65" t="n">
        <f aca="false">J36+J37-J7</f>
        <v>0</v>
      </c>
    </row>
    <row r="39" customFormat="false" ht="15" hidden="false" customHeight="true" outlineLevel="0" collapsed="false">
      <c r="A39" s="60" t="s">
        <v>245</v>
      </c>
      <c r="C39" s="73" t="n">
        <f aca="false">Historical!C39</f>
        <v>2078</v>
      </c>
      <c r="D39" s="73" t="n">
        <f aca="false">Historical!D39</f>
        <v>2181</v>
      </c>
      <c r="E39" s="73" t="n">
        <f aca="false">Historical!E39</f>
        <v>2328</v>
      </c>
      <c r="F39" s="73" t="n">
        <f aca="false">Historical!F39</f>
        <v>2473</v>
      </c>
      <c r="G39" s="73" t="n">
        <f aca="false">Historical!G39</f>
        <v>2618</v>
      </c>
      <c r="H39" s="67" t="n">
        <f aca="false">G40</f>
        <v>2739</v>
      </c>
      <c r="I39" s="67" t="n">
        <f aca="false">H40</f>
        <v>2844</v>
      </c>
      <c r="J39" s="67" t="n">
        <f aca="false">I40</f>
        <v>2954</v>
      </c>
    </row>
    <row r="40" customFormat="false" ht="15" hidden="false" customHeight="true" outlineLevel="0" collapsed="false">
      <c r="A40" s="60" t="s">
        <v>247</v>
      </c>
      <c r="B40" s="56" t="s">
        <v>392</v>
      </c>
      <c r="C40" s="73" t="n">
        <f aca="false">Historical!C40</f>
        <v>2181</v>
      </c>
      <c r="D40" s="73" t="n">
        <f aca="false">Historical!D40</f>
        <v>2328</v>
      </c>
      <c r="E40" s="73" t="n">
        <f aca="false">Historical!E40</f>
        <v>2473</v>
      </c>
      <c r="F40" s="73" t="n">
        <f aca="false">Historical!F40</f>
        <v>2618</v>
      </c>
      <c r="G40" s="73" t="n">
        <f aca="false">Historical!G40</f>
        <v>2739</v>
      </c>
      <c r="H40" s="67" t="n">
        <f aca="false">H39+Drivers!$C$6</f>
        <v>2844</v>
      </c>
      <c r="I40" s="67" t="n">
        <f aca="false">I39+Drivers!$D$6</f>
        <v>2954</v>
      </c>
      <c r="J40" s="67" t="n">
        <f aca="false">J39+Drivers!$E$6</f>
        <v>3064</v>
      </c>
    </row>
    <row r="41" customFormat="false" ht="15" hidden="false" customHeight="true" outlineLevel="0" collapsed="false">
      <c r="A41" s="60" t="s">
        <v>248</v>
      </c>
      <c r="C41" s="73" t="n">
        <f aca="false">Historical!C41</f>
        <v>375</v>
      </c>
      <c r="D41" s="73" t="n">
        <f aca="false">Historical!D41</f>
        <v>441</v>
      </c>
      <c r="E41" s="73" t="n">
        <f aca="false">Historical!E41</f>
        <v>503</v>
      </c>
      <c r="F41" s="73" t="n">
        <f aca="false">Historical!F41</f>
        <v>561</v>
      </c>
      <c r="G41" s="73" t="n">
        <f aca="false">Historical!G41</f>
        <v>602</v>
      </c>
      <c r="H41" s="67" t="n">
        <f aca="false">G41+(1-Drivers!$C$7)*Drivers!$C$6</f>
        <v>640.85</v>
      </c>
      <c r="I41" s="67" t="n">
        <f aca="false">H41+(1-Drivers!$D$7)*Drivers!$D$6</f>
        <v>681.55</v>
      </c>
      <c r="J41" s="67" t="n">
        <f aca="false">I41+(1-Drivers!$E$7)*Drivers!$E$6</f>
        <v>722.25</v>
      </c>
    </row>
    <row r="42" customFormat="false" ht="15" hidden="false" customHeight="true" outlineLevel="0" collapsed="false">
      <c r="A42" s="60" t="s">
        <v>250</v>
      </c>
      <c r="C42" s="73" t="n">
        <f aca="false">Historical!C42</f>
        <v>1806</v>
      </c>
      <c r="D42" s="73" t="n">
        <f aca="false">Historical!D42</f>
        <v>1887</v>
      </c>
      <c r="E42" s="73" t="n">
        <f aca="false">Historical!E42</f>
        <v>1970</v>
      </c>
      <c r="F42" s="73" t="n">
        <f aca="false">Historical!F42</f>
        <v>2057</v>
      </c>
      <c r="G42" s="73" t="n">
        <f aca="false">Historical!G42</f>
        <v>2137</v>
      </c>
      <c r="H42" s="67" t="n">
        <f aca="false">IF(H41="","",H40-H41)</f>
        <v>2203.15</v>
      </c>
      <c r="I42" s="67" t="n">
        <f aca="false">IF(I41="","",I40-I41)</f>
        <v>2272.45</v>
      </c>
      <c r="J42" s="67" t="n">
        <f aca="false">IF(J41="","",J40-J41)</f>
        <v>2341.75</v>
      </c>
    </row>
    <row r="43" customFormat="false" ht="15" hidden="false" customHeight="true" outlineLevel="0" collapsed="false">
      <c r="A43" s="60" t="s">
        <v>251</v>
      </c>
      <c r="C43" s="73" t="n">
        <f aca="false">Historical!C43</f>
        <v>131</v>
      </c>
      <c r="D43" s="73" t="n">
        <f aca="false">Historical!D43</f>
        <v>186</v>
      </c>
      <c r="E43" s="73" t="n">
        <f aca="false">Historical!E43</f>
        <v>220</v>
      </c>
      <c r="F43" s="73" t="n">
        <f aca="false">Historical!F43</f>
        <v>226</v>
      </c>
      <c r="G43" s="73" t="n">
        <f aca="false">Historical!G43</f>
        <v>207</v>
      </c>
      <c r="H43" s="80"/>
      <c r="I43" s="80"/>
      <c r="J43" s="80"/>
    </row>
    <row r="44" customFormat="false" ht="15" hidden="false" customHeight="true" outlineLevel="0" collapsed="false">
      <c r="A44" s="60" t="s">
        <v>253</v>
      </c>
      <c r="C44" s="73" t="n">
        <f aca="false">Historical!C44</f>
        <v>-28</v>
      </c>
      <c r="D44" s="73" t="n">
        <f aca="false">Historical!D44</f>
        <v>-39</v>
      </c>
      <c r="E44" s="73" t="n">
        <f aca="false">Historical!E44</f>
        <v>-75</v>
      </c>
      <c r="F44" s="73" t="n">
        <f aca="false">Historical!F44</f>
        <v>-81</v>
      </c>
      <c r="G44" s="73" t="n">
        <f aca="false">Historical!G44</f>
        <v>-86</v>
      </c>
      <c r="H44" s="80"/>
      <c r="I44" s="80"/>
      <c r="J44" s="80"/>
    </row>
    <row r="45" customFormat="false" ht="15" hidden="false" customHeight="true" outlineLevel="0" collapsed="false">
      <c r="A45" s="60" t="s">
        <v>255</v>
      </c>
      <c r="C45" s="73" t="n">
        <f aca="false">Historical!C45</f>
        <v>103</v>
      </c>
      <c r="D45" s="73" t="n">
        <f aca="false">Historical!D45</f>
        <v>147</v>
      </c>
      <c r="E45" s="73" t="n">
        <f aca="false">Historical!E45</f>
        <v>145</v>
      </c>
      <c r="F45" s="73" t="n">
        <f aca="false">Historical!F45</f>
        <v>145</v>
      </c>
      <c r="G45" s="73" t="n">
        <f aca="false">Historical!G45</f>
        <v>121</v>
      </c>
      <c r="H45" s="67" t="n">
        <f aca="false">H40-H39</f>
        <v>105</v>
      </c>
      <c r="I45" s="67" t="n">
        <f aca="false">I40-I39</f>
        <v>110</v>
      </c>
      <c r="J45" s="67" t="n">
        <f aca="false">J40-J39</f>
        <v>110</v>
      </c>
    </row>
    <row r="46" customFormat="false" ht="15" hidden="false" customHeight="true" outlineLevel="0" collapsed="false">
      <c r="A46" s="60" t="s">
        <v>256</v>
      </c>
      <c r="C46" s="73" t="n">
        <f aca="false">Historical!C46</f>
        <v>0</v>
      </c>
      <c r="D46" s="73" t="n">
        <f aca="false">Historical!D46</f>
        <v>0</v>
      </c>
      <c r="E46" s="73" t="n">
        <f aca="false">Historical!E46</f>
        <v>0</v>
      </c>
      <c r="F46" s="73" t="n">
        <f aca="false">Historical!F46</f>
        <v>0</v>
      </c>
      <c r="G46" s="73" t="n">
        <f aca="false">Historical!G46</f>
        <v>0</v>
      </c>
      <c r="H46" s="67" t="n">
        <f aca="false">IF(H43="",0,H43+H44-H45)</f>
        <v>0</v>
      </c>
      <c r="I46" s="67" t="n">
        <f aca="false">IF(I43="",0,I43+I44-I45)</f>
        <v>0</v>
      </c>
      <c r="J46" s="67" t="n">
        <f aca="false">IF(J43="",0,J43+J44-J45)</f>
        <v>0</v>
      </c>
    </row>
    <row r="47" customFormat="false" ht="15" hidden="false" customHeight="true" outlineLevel="0" collapsed="false">
      <c r="A47" s="60" t="s">
        <v>257</v>
      </c>
      <c r="C47" s="74" t="n">
        <f aca="false">Historical!C47</f>
        <v>0.524</v>
      </c>
      <c r="D47" s="74" t="n">
        <f aca="false">Historical!D47</f>
        <v>0.178</v>
      </c>
      <c r="E47" s="74" t="n">
        <f aca="false">Historical!E47</f>
        <v>0.137</v>
      </c>
      <c r="F47" s="74" t="n">
        <f aca="false">Historical!F47</f>
        <v>0.055</v>
      </c>
      <c r="G47" s="74" t="n">
        <f aca="false">Historical!G47</f>
        <v>0.024</v>
      </c>
      <c r="H47" s="64" t="n">
        <f aca="false">Drivers!$C$8</f>
        <v>0.026</v>
      </c>
      <c r="I47" s="64" t="n">
        <f aca="false">Drivers!$D$8</f>
        <v>0.03</v>
      </c>
      <c r="J47" s="64" t="n">
        <f aca="false">Drivers!$E$8</f>
        <v>0.03</v>
      </c>
    </row>
    <row r="48" customFormat="false" ht="15" hidden="false" customHeight="true" outlineLevel="0" collapsed="false">
      <c r="A48" s="60" t="s">
        <v>258</v>
      </c>
      <c r="C48" s="74" t="n">
        <f aca="false">Historical!C48</f>
        <v>0</v>
      </c>
      <c r="D48" s="74" t="n">
        <f aca="false">Historical!D48</f>
        <v>0</v>
      </c>
      <c r="E48" s="74" t="n">
        <f aca="false">Historical!E48</f>
        <v>0.149</v>
      </c>
      <c r="F48" s="74" t="n">
        <f aca="false">Historical!F48</f>
        <v>0.074</v>
      </c>
      <c r="G48" s="74" t="n">
        <f aca="false">Historical!G48</f>
        <v>0.043</v>
      </c>
      <c r="H48" s="69"/>
      <c r="I48" s="69"/>
      <c r="J48" s="69"/>
    </row>
    <row r="49" customFormat="false" ht="15" hidden="false" customHeight="true" outlineLevel="0" collapsed="false">
      <c r="A49" s="60" t="s">
        <v>260</v>
      </c>
      <c r="C49" s="75" t="n">
        <f aca="false">Historical!C49</f>
        <v>0.608084163898117</v>
      </c>
      <c r="D49" s="75" t="n">
        <f aca="false">Historical!D49</f>
        <v>0.732358516111562</v>
      </c>
      <c r="E49" s="75" t="n">
        <f aca="false">Historical!E49</f>
        <v>0.835312418978481</v>
      </c>
      <c r="F49" s="75" t="n">
        <f aca="false">Historical!F49</f>
        <v>0.884877079711944</v>
      </c>
      <c r="G49" s="75" t="n">
        <f aca="false">Historical!G49</f>
        <v>0.904721030042919</v>
      </c>
      <c r="H49" s="70" t="n">
        <f aca="false">IF(H42="","",H36/AVERAGE(H42,IF(G42="",H42,G42)))</f>
        <v>0.923555131455228</v>
      </c>
      <c r="I49" s="70" t="n">
        <f aca="false">IF(I42="","",I36/AVERAGE(I42,IF(H42="",I42,H42)))</f>
        <v>0.947067654690593</v>
      </c>
      <c r="J49" s="70" t="n">
        <f aca="false">IF(J42="","",J36/AVERAGE(J42,IF(I42="",J42,I42)))</f>
        <v>0.971321806436896</v>
      </c>
    </row>
    <row r="51" customFormat="false" ht="15" hidden="false" customHeight="true" outlineLevel="0" collapsed="false">
      <c r="A51" s="58" t="s">
        <v>261</v>
      </c>
      <c r="B51" s="59"/>
      <c r="C51" s="59"/>
      <c r="D51" s="59"/>
      <c r="E51" s="59"/>
      <c r="F51" s="59"/>
      <c r="G51" s="59"/>
      <c r="H51" s="59"/>
      <c r="I51" s="59"/>
      <c r="J51" s="59"/>
    </row>
    <row r="52" customFormat="false" ht="15" hidden="false" customHeight="true" outlineLevel="0" collapsed="false">
      <c r="A52" s="60" t="s">
        <v>262</v>
      </c>
      <c r="C52" s="76" t="n">
        <f aca="false">Historical!C52</f>
        <v>14.9</v>
      </c>
      <c r="D52" s="76" t="n">
        <f aca="false">Historical!D52</f>
        <v>13.5</v>
      </c>
      <c r="E52" s="76" t="n">
        <f aca="false">Historical!E52</f>
        <v>18.3</v>
      </c>
      <c r="F52" s="76" t="n">
        <f aca="false">Historical!F52</f>
        <v>24.9</v>
      </c>
      <c r="G52" s="76" t="n">
        <f aca="false">Historical!G52</f>
        <v>43</v>
      </c>
      <c r="H52" s="65" t="n">
        <f aca="false">G52+H142-H144</f>
        <v>49.66</v>
      </c>
      <c r="I52" s="65" t="n">
        <f aca="false">H52+I142-I144</f>
        <v>53.9212</v>
      </c>
      <c r="J52" s="65" t="n">
        <f aca="false">I52+J142-J144</f>
        <v>57.015384</v>
      </c>
    </row>
    <row r="53" customFormat="false" ht="15" hidden="false" customHeight="true" outlineLevel="0" collapsed="false">
      <c r="A53" s="60" t="s">
        <v>264</v>
      </c>
      <c r="B53" s="56" t="s">
        <v>393</v>
      </c>
      <c r="C53" s="76" t="n">
        <f aca="false">Historical!C53</f>
        <v>343.8</v>
      </c>
      <c r="D53" s="76" t="n">
        <f aca="false">Historical!D53</f>
        <v>390</v>
      </c>
      <c r="E53" s="76" t="n">
        <f aca="false">Historical!E53</f>
        <v>510.3</v>
      </c>
      <c r="F53" s="76" t="n">
        <f aca="false">Historical!F53</f>
        <v>664.7</v>
      </c>
      <c r="G53" s="76" t="n">
        <f aca="false">Historical!G53</f>
        <v>832.1</v>
      </c>
      <c r="H53" s="65" t="n">
        <f aca="false">G53+H143-H145</f>
        <v>885.3665</v>
      </c>
      <c r="I53" s="65" t="n">
        <f aca="false">H53+I143-I145</f>
        <v>917.6420225</v>
      </c>
      <c r="J53" s="65" t="n">
        <f aca="false">I53+J143-J145</f>
        <v>940.9603494625</v>
      </c>
    </row>
    <row r="54" customFormat="false" ht="15" hidden="false" customHeight="true" outlineLevel="0" collapsed="false">
      <c r="A54" s="60" t="s">
        <v>265</v>
      </c>
      <c r="B54" s="56" t="s">
        <v>394</v>
      </c>
      <c r="C54" s="76" t="n">
        <f aca="false">Historical!C54</f>
        <v>263.6</v>
      </c>
      <c r="D54" s="76" t="n">
        <f aca="false">Historical!D54</f>
        <v>281.6</v>
      </c>
      <c r="E54" s="76" t="n">
        <f aca="false">Historical!E54</f>
        <v>296.6</v>
      </c>
      <c r="F54" s="76" t="n">
        <f aca="false">Historical!F54</f>
        <v>387.2</v>
      </c>
      <c r="G54" s="76" t="n">
        <f aca="false">Historical!G54</f>
        <v>413</v>
      </c>
      <c r="H54" s="65" t="n">
        <f aca="false">G54*H42/G42</f>
        <v>425.784253626579</v>
      </c>
      <c r="I54" s="65" t="n">
        <f aca="false">H54*I42/H42</f>
        <v>439.177281235377</v>
      </c>
      <c r="J54" s="65" t="n">
        <f aca="false">I54*J42/I42</f>
        <v>452.570308844174</v>
      </c>
    </row>
    <row r="55" customFormat="false" ht="15" hidden="false" customHeight="true" outlineLevel="0" collapsed="false">
      <c r="A55" s="60" t="s">
        <v>266</v>
      </c>
      <c r="C55" s="76" t="n">
        <f aca="false">Historical!C55</f>
        <v>0</v>
      </c>
      <c r="D55" s="76" t="n">
        <f aca="false">Historical!D55</f>
        <v>6.3</v>
      </c>
      <c r="E55" s="76" t="n">
        <f aca="false">Historical!E55</f>
        <v>6.6</v>
      </c>
      <c r="F55" s="76" t="n">
        <f aca="false">Historical!F55</f>
        <v>0</v>
      </c>
      <c r="G55" s="76" t="n">
        <f aca="false">Historical!G55</f>
        <v>0</v>
      </c>
      <c r="H55" s="65" t="n">
        <f aca="false">0</f>
        <v>0</v>
      </c>
      <c r="I55" s="65" t="n">
        <f aca="false">0</f>
        <v>0</v>
      </c>
      <c r="J55" s="65" t="n">
        <f aca="false">0</f>
        <v>0</v>
      </c>
    </row>
    <row r="56" customFormat="false" ht="15" hidden="false" customHeight="true" outlineLevel="0" collapsed="false">
      <c r="A56" s="62" t="s">
        <v>267</v>
      </c>
      <c r="C56" s="76" t="n">
        <f aca="false">Historical!C56</f>
        <v>622.3</v>
      </c>
      <c r="D56" s="76" t="n">
        <f aca="false">Historical!D56</f>
        <v>691.4</v>
      </c>
      <c r="E56" s="76" t="n">
        <f aca="false">Historical!E56</f>
        <v>831.8</v>
      </c>
      <c r="F56" s="76" t="n">
        <f aca="false">Historical!F56</f>
        <v>1076.8</v>
      </c>
      <c r="G56" s="76" t="n">
        <f aca="false">Historical!G56</f>
        <v>1288.1</v>
      </c>
      <c r="H56" s="78" t="n">
        <f aca="false">SUM(H52:H55)</f>
        <v>1360.81075362658</v>
      </c>
      <c r="I56" s="78" t="n">
        <f aca="false">SUM(I52:I55)</f>
        <v>1410.74050373538</v>
      </c>
      <c r="J56" s="78" t="n">
        <f aca="false">SUM(J52:J55)</f>
        <v>1450.54604230667</v>
      </c>
    </row>
    <row r="57" customFormat="false" ht="15" hidden="false" customHeight="true" outlineLevel="0" collapsed="false">
      <c r="A57" s="60" t="s">
        <v>268</v>
      </c>
      <c r="B57" s="56" t="s">
        <v>395</v>
      </c>
      <c r="C57" s="76" t="n">
        <f aca="false">Historical!C57</f>
        <v>27.9</v>
      </c>
      <c r="D57" s="76" t="n">
        <f aca="false">Historical!D57</f>
        <v>40.6</v>
      </c>
      <c r="E57" s="76" t="n">
        <f aca="false">Historical!E57</f>
        <v>48.8</v>
      </c>
      <c r="F57" s="76" t="n">
        <f aca="false">Historical!F57</f>
        <v>55.2</v>
      </c>
      <c r="G57" s="76" t="n">
        <f aca="false">Historical!G57</f>
        <v>55.7</v>
      </c>
      <c r="H57" s="65" t="n">
        <f aca="false">-H8*Drivers!$C$23/365</f>
        <v>60.217794673198</v>
      </c>
      <c r="I57" s="65" t="n">
        <f aca="false">-I8*Drivers!$D$23/365</f>
        <v>63.8440752809346</v>
      </c>
      <c r="J57" s="65" t="n">
        <f aca="false">-J8*Drivers!$E$23/365</f>
        <v>67.6869211888882</v>
      </c>
    </row>
    <row r="58" customFormat="false" ht="15" hidden="false" customHeight="true" outlineLevel="0" collapsed="false">
      <c r="A58" s="60" t="s">
        <v>269</v>
      </c>
      <c r="B58" s="56" t="s">
        <v>396</v>
      </c>
      <c r="C58" s="76" t="n">
        <f aca="false">Historical!C58</f>
        <v>37.6</v>
      </c>
      <c r="D58" s="76" t="n">
        <f aca="false">Historical!D58</f>
        <v>50.2</v>
      </c>
      <c r="E58" s="76" t="n">
        <f aca="false">Historical!E58</f>
        <v>53.8</v>
      </c>
      <c r="F58" s="76" t="n">
        <f aca="false">Historical!F58</f>
        <v>62.4</v>
      </c>
      <c r="G58" s="76" t="n">
        <f aca="false">Historical!G58</f>
        <v>69.4</v>
      </c>
      <c r="H58" s="65" t="n">
        <f aca="false">H7*Drivers!$C$24/365</f>
        <v>71.9485338952496</v>
      </c>
      <c r="I58" s="65" t="n">
        <f aca="false">I7*Drivers!$D$24/365</f>
        <v>76.2812328031945</v>
      </c>
      <c r="J58" s="65" t="n">
        <f aca="false">J7*Drivers!$E$24/365</f>
        <v>80.8726850568534</v>
      </c>
    </row>
    <row r="59" customFormat="false" ht="15" hidden="false" customHeight="true" outlineLevel="0" collapsed="false">
      <c r="A59" s="60" t="s">
        <v>270</v>
      </c>
      <c r="C59" s="76" t="n">
        <f aca="false">Historical!C59</f>
        <v>1.6</v>
      </c>
      <c r="D59" s="76" t="n">
        <f aca="false">Historical!D59</f>
        <v>0</v>
      </c>
      <c r="E59" s="76" t="n">
        <f aca="false">Historical!E59</f>
        <v>0</v>
      </c>
      <c r="F59" s="76" t="n">
        <f aca="false">Historical!F59</f>
        <v>0</v>
      </c>
      <c r="G59" s="76" t="n">
        <f aca="false">Historical!G59</f>
        <v>0</v>
      </c>
      <c r="H59" s="65" t="n">
        <f aca="false">0</f>
        <v>0</v>
      </c>
      <c r="I59" s="65" t="n">
        <f aca="false">0</f>
        <v>0</v>
      </c>
      <c r="J59" s="65" t="n">
        <f aca="false">0</f>
        <v>0</v>
      </c>
    </row>
    <row r="60" customFormat="false" ht="15" hidden="false" customHeight="true" outlineLevel="0" collapsed="false">
      <c r="A60" s="60" t="s">
        <v>271</v>
      </c>
      <c r="C60" s="76" t="n">
        <f aca="false">Historical!C60</f>
        <v>0.4</v>
      </c>
      <c r="D60" s="76" t="n">
        <f aca="false">Historical!D60</f>
        <v>0.6</v>
      </c>
      <c r="E60" s="76" t="n">
        <f aca="false">Historical!E60</f>
        <v>0</v>
      </c>
      <c r="F60" s="76" t="n">
        <f aca="false">Historical!F60</f>
        <v>0</v>
      </c>
      <c r="G60" s="76" t="n">
        <f aca="false">Historical!G60</f>
        <v>0</v>
      </c>
      <c r="H60" s="65" t="n">
        <f aca="false">0</f>
        <v>0</v>
      </c>
      <c r="I60" s="65" t="n">
        <f aca="false">0</f>
        <v>0</v>
      </c>
      <c r="J60" s="65" t="n">
        <f aca="false">0</f>
        <v>0</v>
      </c>
    </row>
    <row r="61" customFormat="false" ht="15" hidden="false" customHeight="true" outlineLevel="0" collapsed="false">
      <c r="A61" s="60" t="s">
        <v>272</v>
      </c>
      <c r="B61" s="56" t="s">
        <v>397</v>
      </c>
      <c r="C61" s="76" t="n">
        <f aca="false">Historical!C61</f>
        <v>198.6</v>
      </c>
      <c r="D61" s="76" t="n">
        <f aca="false">Historical!D61</f>
        <v>191.6</v>
      </c>
      <c r="E61" s="76" t="n">
        <f aca="false">Historical!E61</f>
        <v>195.3</v>
      </c>
      <c r="F61" s="76" t="n">
        <f aca="false">Historical!F61</f>
        <v>125.3</v>
      </c>
      <c r="G61" s="76" t="n">
        <f aca="false">Historical!G61</f>
        <v>70.8</v>
      </c>
      <c r="H61" s="65" t="n">
        <f aca="false">H113</f>
        <v>85.041805073007</v>
      </c>
      <c r="I61" s="65" t="n">
        <f aca="false">I113</f>
        <v>104.332068970221</v>
      </c>
      <c r="J61" s="65" t="n">
        <f aca="false">J113</f>
        <v>165.749757323111</v>
      </c>
    </row>
    <row r="62" customFormat="false" ht="15" hidden="false" customHeight="true" outlineLevel="0" collapsed="false">
      <c r="A62" s="62" t="s">
        <v>273</v>
      </c>
      <c r="C62" s="76" t="n">
        <f aca="false">Historical!C62</f>
        <v>266.1</v>
      </c>
      <c r="D62" s="76" t="n">
        <f aca="false">Historical!D62</f>
        <v>283</v>
      </c>
      <c r="E62" s="76" t="n">
        <f aca="false">Historical!E62</f>
        <v>297.9</v>
      </c>
      <c r="F62" s="76" t="n">
        <f aca="false">Historical!F62</f>
        <v>242.9</v>
      </c>
      <c r="G62" s="76" t="n">
        <f aca="false">Historical!G62</f>
        <v>195.9</v>
      </c>
      <c r="H62" s="78" t="n">
        <f aca="false">SUM(H57:H61)</f>
        <v>217.208133641455</v>
      </c>
      <c r="I62" s="78" t="n">
        <f aca="false">SUM(I57:I61)</f>
        <v>244.45737705435</v>
      </c>
      <c r="J62" s="78" t="n">
        <f aca="false">SUM(J57:J61)</f>
        <v>314.309363568852</v>
      </c>
    </row>
    <row r="63" customFormat="false" ht="15" hidden="false" customHeight="true" outlineLevel="0" collapsed="false">
      <c r="A63" s="62" t="s">
        <v>274</v>
      </c>
      <c r="C63" s="76" t="n">
        <f aca="false">Historical!C63</f>
        <v>888.4</v>
      </c>
      <c r="D63" s="76" t="n">
        <f aca="false">Historical!D63</f>
        <v>974.4</v>
      </c>
      <c r="E63" s="76" t="n">
        <f aca="false">Historical!E63</f>
        <v>1129.7</v>
      </c>
      <c r="F63" s="76" t="n">
        <f aca="false">Historical!F63</f>
        <v>1319.7</v>
      </c>
      <c r="G63" s="76" t="n">
        <f aca="false">Historical!G63</f>
        <v>1484</v>
      </c>
      <c r="H63" s="78" t="n">
        <f aca="false">H56+H62</f>
        <v>1578.01888726803</v>
      </c>
      <c r="I63" s="78" t="n">
        <f aca="false">I56+I62</f>
        <v>1655.19788078973</v>
      </c>
      <c r="J63" s="78" t="n">
        <f aca="false">J56+J62</f>
        <v>1764.85540587553</v>
      </c>
    </row>
    <row r="64" customFormat="false" ht="15" hidden="false" customHeight="true" outlineLevel="0" collapsed="false">
      <c r="A64" s="60" t="s">
        <v>275</v>
      </c>
      <c r="B64" s="56" t="s">
        <v>396</v>
      </c>
      <c r="C64" s="76" t="n">
        <f aca="false">Historical!C64</f>
        <v>-153.4</v>
      </c>
      <c r="D64" s="76" t="n">
        <f aca="false">Historical!D64</f>
        <v>-191.7</v>
      </c>
      <c r="E64" s="76" t="n">
        <f aca="false">Historical!E64</f>
        <v>-211.1</v>
      </c>
      <c r="F64" s="76" t="n">
        <f aca="false">Historical!F64</f>
        <v>-243.9</v>
      </c>
      <c r="G64" s="76" t="n">
        <f aca="false">Historical!G64</f>
        <v>-272.8</v>
      </c>
      <c r="H64" s="65" t="n">
        <f aca="false">-H7*Drivers!$C$25/365</f>
        <v>-281.537741329237</v>
      </c>
      <c r="I64" s="65" t="n">
        <f aca="false">-I7*Drivers!$D$25/365</f>
        <v>-298.49178053424</v>
      </c>
      <c r="J64" s="65" t="n">
        <f aca="false">-J7*Drivers!$E$25/365</f>
        <v>-316.458332831165</v>
      </c>
    </row>
    <row r="65" customFormat="false" ht="15" hidden="false" customHeight="true" outlineLevel="0" collapsed="false">
      <c r="A65" s="60" t="s">
        <v>276</v>
      </c>
      <c r="C65" s="76" t="n">
        <f aca="false">Historical!C65</f>
        <v>0</v>
      </c>
      <c r="D65" s="76" t="n">
        <f aca="false">Historical!D65</f>
        <v>0</v>
      </c>
      <c r="E65" s="76" t="n">
        <f aca="false">Historical!E65</f>
        <v>-4.9</v>
      </c>
      <c r="F65" s="76" t="n">
        <f aca="false">Historical!F65</f>
        <v>-9.1</v>
      </c>
      <c r="G65" s="76" t="n">
        <f aca="false">Historical!G65</f>
        <v>-2.1</v>
      </c>
      <c r="H65" s="65" t="n">
        <f aca="false">G65</f>
        <v>-2.1</v>
      </c>
      <c r="I65" s="65" t="n">
        <f aca="false">H65</f>
        <v>-2.1</v>
      </c>
      <c r="J65" s="65" t="n">
        <f aca="false">I65</f>
        <v>-2.1</v>
      </c>
    </row>
    <row r="66" customFormat="false" ht="15" hidden="false" customHeight="true" outlineLevel="0" collapsed="false">
      <c r="A66" s="60" t="s">
        <v>277</v>
      </c>
      <c r="B66" s="56" t="s">
        <v>398</v>
      </c>
      <c r="C66" s="76" t="n">
        <f aca="false">Historical!C66</f>
        <v>-49.3</v>
      </c>
      <c r="D66" s="76" t="n">
        <f aca="false">Historical!D66</f>
        <v>-48.8</v>
      </c>
      <c r="E66" s="76" t="n">
        <f aca="false">Historical!E66</f>
        <v>-52.5</v>
      </c>
      <c r="F66" s="76" t="n">
        <f aca="false">Historical!F66</f>
        <v>-53.8</v>
      </c>
      <c r="G66" s="76" t="n">
        <f aca="false">Historical!G66</f>
        <v>-62.5</v>
      </c>
      <c r="H66" s="65" t="n">
        <f aca="false">-H146*Drivers!$C$35</f>
        <v>-64.4575502714085</v>
      </c>
      <c r="I66" s="65" t="n">
        <f aca="false">-I146*Drivers!$D$35</f>
        <v>-66.4850600795508</v>
      </c>
      <c r="J66" s="65" t="n">
        <f aca="false">-J146*Drivers!$E$35</f>
        <v>-68.512569887693</v>
      </c>
    </row>
    <row r="67" customFormat="false" ht="15" hidden="false" customHeight="true" outlineLevel="0" collapsed="false">
      <c r="A67" s="60" t="s">
        <v>278</v>
      </c>
      <c r="C67" s="76" t="n">
        <f aca="false">Historical!C67</f>
        <v>-4.2</v>
      </c>
      <c r="D67" s="76" t="n">
        <f aca="false">Historical!D67</f>
        <v>-3.6</v>
      </c>
      <c r="E67" s="76" t="n">
        <f aca="false">Historical!E67</f>
        <v>-4</v>
      </c>
      <c r="F67" s="76" t="n">
        <f aca="false">Historical!F67</f>
        <v>-3.4</v>
      </c>
      <c r="G67" s="76" t="n">
        <f aca="false">Historical!G67</f>
        <v>-10.3</v>
      </c>
      <c r="H67" s="65" t="n">
        <f aca="false">G67-(H154-H155)</f>
        <v>-45.3</v>
      </c>
      <c r="I67" s="65" t="n">
        <f aca="false">H67-(I154-I155)</f>
        <v>-20.3</v>
      </c>
      <c r="J67" s="65" t="n">
        <f aca="false">I67-(J154-J155)</f>
        <v>-10.3</v>
      </c>
    </row>
    <row r="68" customFormat="false" ht="15" hidden="false" customHeight="true" outlineLevel="0" collapsed="false">
      <c r="A68" s="62" t="s">
        <v>279</v>
      </c>
      <c r="C68" s="76" t="n">
        <f aca="false">Historical!C68</f>
        <v>-206.9</v>
      </c>
      <c r="D68" s="76" t="n">
        <f aca="false">Historical!D68</f>
        <v>-244.1</v>
      </c>
      <c r="E68" s="76" t="n">
        <f aca="false">Historical!E68</f>
        <v>-272.5</v>
      </c>
      <c r="F68" s="76" t="n">
        <f aca="false">Historical!F68</f>
        <v>-310.2</v>
      </c>
      <c r="G68" s="76" t="n">
        <f aca="false">Historical!G68</f>
        <v>-347.7</v>
      </c>
      <c r="H68" s="78" t="n">
        <f aca="false">SUM(H64:H67)</f>
        <v>-393.395291600646</v>
      </c>
      <c r="I68" s="78" t="n">
        <f aca="false">SUM(I64:I67)</f>
        <v>-387.37684061379</v>
      </c>
      <c r="J68" s="78" t="n">
        <f aca="false">SUM(J64:J67)</f>
        <v>-397.370902718858</v>
      </c>
    </row>
    <row r="69" customFormat="false" ht="15" hidden="false" customHeight="true" outlineLevel="0" collapsed="false">
      <c r="A69" s="60" t="s">
        <v>280</v>
      </c>
      <c r="C69" s="76" t="n">
        <f aca="false">Historical!C69</f>
        <v>0</v>
      </c>
      <c r="D69" s="76" t="n">
        <f aca="false">Historical!D69</f>
        <v>0</v>
      </c>
      <c r="E69" s="76" t="n">
        <f aca="false">Historical!E69</f>
        <v>0</v>
      </c>
      <c r="F69" s="76" t="n">
        <f aca="false">Historical!F69</f>
        <v>0</v>
      </c>
      <c r="G69" s="76" t="n">
        <f aca="false">Historical!G69</f>
        <v>-25</v>
      </c>
      <c r="H69" s="65" t="n">
        <f aca="false">G69</f>
        <v>-25</v>
      </c>
      <c r="I69" s="65" t="n">
        <f aca="false">H69</f>
        <v>-25</v>
      </c>
      <c r="J69" s="65" t="n">
        <f aca="false">I69</f>
        <v>-25</v>
      </c>
    </row>
    <row r="70" customFormat="false" ht="15" hidden="false" customHeight="true" outlineLevel="0" collapsed="false">
      <c r="A70" s="60" t="s">
        <v>281</v>
      </c>
      <c r="C70" s="76" t="n">
        <f aca="false">Historical!C70</f>
        <v>-3.2</v>
      </c>
      <c r="D70" s="76" t="n">
        <f aca="false">Historical!D70</f>
        <v>-2.8</v>
      </c>
      <c r="E70" s="76" t="n">
        <f aca="false">Historical!E70</f>
        <v>-2.3</v>
      </c>
      <c r="F70" s="76" t="n">
        <f aca="false">Historical!F70</f>
        <v>-1.8</v>
      </c>
      <c r="G70" s="76" t="n">
        <f aca="false">Historical!G70</f>
        <v>-1.4</v>
      </c>
      <c r="H70" s="65" t="n">
        <f aca="false">G70</f>
        <v>-1.4</v>
      </c>
      <c r="I70" s="65" t="n">
        <f aca="false">H70</f>
        <v>-1.4</v>
      </c>
      <c r="J70" s="65" t="n">
        <f aca="false">I70</f>
        <v>-1.4</v>
      </c>
    </row>
    <row r="71" customFormat="false" ht="15" hidden="false" customHeight="true" outlineLevel="0" collapsed="false">
      <c r="A71" s="60" t="s">
        <v>282</v>
      </c>
      <c r="B71" s="56" t="s">
        <v>398</v>
      </c>
      <c r="C71" s="76" t="n">
        <f aca="false">Historical!C71</f>
        <v>-233.9</v>
      </c>
      <c r="D71" s="76" t="n">
        <f aca="false">Historical!D71</f>
        <v>-252.5</v>
      </c>
      <c r="E71" s="76" t="n">
        <f aca="false">Historical!E71</f>
        <v>-267.1</v>
      </c>
      <c r="F71" s="76" t="n">
        <f aca="false">Historical!F71</f>
        <v>-361.3</v>
      </c>
      <c r="G71" s="76" t="n">
        <f aca="false">Historical!G71</f>
        <v>-387.3</v>
      </c>
      <c r="H71" s="65" t="n">
        <f aca="false">-H146*(1-Drivers!$C$35)</f>
        <v>-399.265832976135</v>
      </c>
      <c r="I71" s="65" t="n">
        <f aca="false">-I146*(1-Drivers!$D$35)</f>
        <v>-411.824724665419</v>
      </c>
      <c r="J71" s="65" t="n">
        <f aca="false">-J146*(1-Drivers!$E$35)</f>
        <v>-424.383616354703</v>
      </c>
    </row>
    <row r="72" customFormat="false" ht="15" hidden="false" customHeight="true" outlineLevel="0" collapsed="false">
      <c r="A72" s="60" t="s">
        <v>283</v>
      </c>
      <c r="C72" s="76" t="n">
        <f aca="false">Historical!C72</f>
        <v>-10</v>
      </c>
      <c r="D72" s="76" t="n">
        <f aca="false">Historical!D72</f>
        <v>-26.3</v>
      </c>
      <c r="E72" s="76" t="n">
        <f aca="false">Historical!E72</f>
        <v>-54.7</v>
      </c>
      <c r="F72" s="76" t="n">
        <f aca="false">Historical!F72</f>
        <v>-72.6</v>
      </c>
      <c r="G72" s="76" t="n">
        <f aca="false">Historical!G72</f>
        <v>-93.7</v>
      </c>
      <c r="H72" s="65" t="n">
        <f aca="false">G72-H156</f>
        <v>-100.291915</v>
      </c>
      <c r="I72" s="65" t="n">
        <f aca="false">H72-I156</f>
        <v>-104.310954475</v>
      </c>
      <c r="J72" s="65" t="n">
        <f aca="false">I72-J156</f>
        <v>-107.216330680875</v>
      </c>
    </row>
    <row r="73" customFormat="false" ht="15" hidden="false" customHeight="true" outlineLevel="0" collapsed="false">
      <c r="A73" s="60" t="s">
        <v>284</v>
      </c>
      <c r="C73" s="76" t="n">
        <f aca="false">Historical!C73</f>
        <v>-2.8</v>
      </c>
      <c r="D73" s="76" t="n">
        <f aca="false">Historical!D73</f>
        <v>-2.7</v>
      </c>
      <c r="E73" s="76" t="n">
        <f aca="false">Historical!E73</f>
        <v>-2.2</v>
      </c>
      <c r="F73" s="76" t="n">
        <f aca="false">Historical!F73</f>
        <v>-2.9</v>
      </c>
      <c r="G73" s="76" t="n">
        <f aca="false">Historical!G73</f>
        <v>-3.4</v>
      </c>
      <c r="H73" s="65" t="n">
        <f aca="false">G73</f>
        <v>-3.4</v>
      </c>
      <c r="I73" s="65" t="n">
        <f aca="false">H73</f>
        <v>-3.4</v>
      </c>
      <c r="J73" s="65" t="n">
        <f aca="false">I73</f>
        <v>-3.4</v>
      </c>
    </row>
    <row r="74" customFormat="false" ht="15" hidden="false" customHeight="true" outlineLevel="0" collapsed="false">
      <c r="A74" s="60" t="s">
        <v>285</v>
      </c>
      <c r="C74" s="76" t="n">
        <f aca="false">Historical!C74</f>
        <v>-2.4</v>
      </c>
      <c r="D74" s="76" t="n">
        <f aca="false">Historical!D74</f>
        <v>0</v>
      </c>
      <c r="E74" s="76" t="n">
        <f aca="false">Historical!E74</f>
        <v>0</v>
      </c>
      <c r="F74" s="76" t="n">
        <f aca="false">Historical!F74</f>
        <v>-0.4</v>
      </c>
      <c r="G74" s="76" t="n">
        <f aca="false">Historical!G74</f>
        <v>-0.3</v>
      </c>
      <c r="H74" s="65" t="n">
        <f aca="false">G74</f>
        <v>-0.3</v>
      </c>
      <c r="I74" s="65" t="n">
        <f aca="false">H74</f>
        <v>-0.3</v>
      </c>
      <c r="J74" s="65" t="n">
        <f aca="false">I74</f>
        <v>-0.3</v>
      </c>
    </row>
    <row r="75" customFormat="false" ht="15" hidden="false" customHeight="true" outlineLevel="0" collapsed="false">
      <c r="A75" s="62" t="s">
        <v>286</v>
      </c>
      <c r="C75" s="76" t="n">
        <f aca="false">Historical!C75</f>
        <v>-252.3</v>
      </c>
      <c r="D75" s="76" t="n">
        <f aca="false">Historical!D75</f>
        <v>-284.3</v>
      </c>
      <c r="E75" s="76" t="n">
        <f aca="false">Historical!E75</f>
        <v>-326.3</v>
      </c>
      <c r="F75" s="76" t="n">
        <f aca="false">Historical!F75</f>
        <v>-439</v>
      </c>
      <c r="G75" s="76" t="n">
        <f aca="false">Historical!G75</f>
        <v>-511.1</v>
      </c>
      <c r="H75" s="78" t="n">
        <f aca="false">SUM(H69:H74)</f>
        <v>-529.657747976135</v>
      </c>
      <c r="I75" s="78" t="n">
        <f aca="false">SUM(I69:I74)</f>
        <v>-546.235679140419</v>
      </c>
      <c r="J75" s="78" t="n">
        <f aca="false">SUM(J69:J74)</f>
        <v>-561.699947035578</v>
      </c>
    </row>
    <row r="76" customFormat="false" ht="15" hidden="false" customHeight="true" outlineLevel="0" collapsed="false">
      <c r="A76" s="62" t="s">
        <v>287</v>
      </c>
      <c r="C76" s="76" t="n">
        <f aca="false">Historical!C76</f>
        <v>-459.2</v>
      </c>
      <c r="D76" s="76" t="n">
        <f aca="false">Historical!D76</f>
        <v>-528.4</v>
      </c>
      <c r="E76" s="76" t="n">
        <f aca="false">Historical!E76</f>
        <v>-598.8</v>
      </c>
      <c r="F76" s="76" t="n">
        <f aca="false">Historical!F76</f>
        <v>-749.2</v>
      </c>
      <c r="G76" s="76" t="n">
        <f aca="false">Historical!G76</f>
        <v>-858.8</v>
      </c>
      <c r="H76" s="78" t="n">
        <f aca="false">H68+H75</f>
        <v>-923.053039576781</v>
      </c>
      <c r="I76" s="78" t="n">
        <f aca="false">I68+I75</f>
        <v>-933.612519754209</v>
      </c>
      <c r="J76" s="78" t="n">
        <f aca="false">J68+J75</f>
        <v>-959.070849754436</v>
      </c>
    </row>
    <row r="77" customFormat="false" ht="15" hidden="false" customHeight="true" outlineLevel="0" collapsed="false">
      <c r="A77" s="62" t="s">
        <v>288</v>
      </c>
      <c r="C77" s="76" t="n">
        <f aca="false">Historical!C77</f>
        <v>429.2</v>
      </c>
      <c r="D77" s="76" t="n">
        <f aca="false">Historical!D77</f>
        <v>446</v>
      </c>
      <c r="E77" s="76" t="n">
        <f aca="false">Historical!E77</f>
        <v>530.9</v>
      </c>
      <c r="F77" s="76" t="n">
        <f aca="false">Historical!F77</f>
        <v>570.5</v>
      </c>
      <c r="G77" s="76" t="n">
        <f aca="false">Historical!G77</f>
        <v>625.2</v>
      </c>
      <c r="H77" s="78" t="n">
        <f aca="false">H63+H76</f>
        <v>654.965847691253</v>
      </c>
      <c r="I77" s="78" t="n">
        <f aca="false">I63+I76</f>
        <v>721.585361035518</v>
      </c>
      <c r="J77" s="78" t="n">
        <f aca="false">J63+J76</f>
        <v>805.78455612109</v>
      </c>
    </row>
    <row r="78" customFormat="false" ht="15" hidden="false" customHeight="true" outlineLevel="0" collapsed="false">
      <c r="A78" s="60" t="s">
        <v>289</v>
      </c>
      <c r="C78" s="76" t="n">
        <f aca="false">Historical!C78</f>
        <v>2</v>
      </c>
      <c r="D78" s="76" t="n">
        <f aca="false">Historical!D78</f>
        <v>2</v>
      </c>
      <c r="E78" s="76" t="n">
        <f aca="false">Historical!E78</f>
        <v>2</v>
      </c>
      <c r="F78" s="76" t="n">
        <f aca="false">Historical!F78</f>
        <v>2</v>
      </c>
      <c r="G78" s="76" t="n">
        <f aca="false">Historical!G78</f>
        <v>2</v>
      </c>
      <c r="H78" s="65" t="n">
        <f aca="false">G78</f>
        <v>2</v>
      </c>
      <c r="I78" s="65" t="n">
        <f aca="false">H78</f>
        <v>2</v>
      </c>
      <c r="J78" s="65" t="n">
        <f aca="false">I78</f>
        <v>2</v>
      </c>
    </row>
    <row r="79" customFormat="false" ht="15" hidden="false" customHeight="true" outlineLevel="0" collapsed="false">
      <c r="A79" s="60" t="s">
        <v>290</v>
      </c>
      <c r="C79" s="76" t="n">
        <f aca="false">Historical!C79</f>
        <v>20</v>
      </c>
      <c r="D79" s="76" t="n">
        <f aca="false">Historical!D79</f>
        <v>23.1</v>
      </c>
      <c r="E79" s="76" t="n">
        <f aca="false">Historical!E79</f>
        <v>25.1</v>
      </c>
      <c r="F79" s="76" t="n">
        <f aca="false">Historical!F79</f>
        <v>25.1</v>
      </c>
      <c r="G79" s="76" t="n">
        <f aca="false">Historical!G79</f>
        <v>25.1</v>
      </c>
      <c r="H79" s="65" t="n">
        <f aca="false">G79</f>
        <v>25.1</v>
      </c>
      <c r="I79" s="65" t="n">
        <f aca="false">H79</f>
        <v>25.1</v>
      </c>
      <c r="J79" s="65" t="n">
        <f aca="false">I79</f>
        <v>25.1</v>
      </c>
    </row>
    <row r="80" customFormat="false" ht="15" hidden="false" customHeight="true" outlineLevel="0" collapsed="false">
      <c r="A80" s="60" t="s">
        <v>291</v>
      </c>
      <c r="C80" s="76" t="n">
        <f aca="false">Historical!C80</f>
        <v>0.4</v>
      </c>
      <c r="D80" s="76" t="n">
        <f aca="false">Historical!D80</f>
        <v>0.4</v>
      </c>
      <c r="E80" s="76" t="n">
        <f aca="false">Historical!E80</f>
        <v>0.4</v>
      </c>
      <c r="F80" s="76" t="n">
        <f aca="false">Historical!F80</f>
        <v>0.4</v>
      </c>
      <c r="G80" s="76" t="n">
        <f aca="false">Historical!G80</f>
        <v>0.4</v>
      </c>
      <c r="H80" s="65" t="n">
        <f aca="false">G80</f>
        <v>0.4</v>
      </c>
      <c r="I80" s="65" t="n">
        <f aca="false">H80</f>
        <v>0.4</v>
      </c>
      <c r="J80" s="65" t="n">
        <f aca="false">I80</f>
        <v>0.4</v>
      </c>
    </row>
    <row r="81" customFormat="false" ht="15" hidden="false" customHeight="true" outlineLevel="0" collapsed="false">
      <c r="A81" s="60" t="s">
        <v>292</v>
      </c>
      <c r="B81" s="56" t="s">
        <v>399</v>
      </c>
      <c r="C81" s="76" t="n">
        <f aca="false">Historical!C81</f>
        <v>406.8</v>
      </c>
      <c r="D81" s="76" t="n">
        <f aca="false">Historical!D81</f>
        <v>420.5</v>
      </c>
      <c r="E81" s="76" t="n">
        <f aca="false">Historical!E81</f>
        <v>503.4</v>
      </c>
      <c r="F81" s="76" t="n">
        <f aca="false">Historical!F81</f>
        <v>543</v>
      </c>
      <c r="G81" s="76" t="n">
        <f aca="false">Historical!G81</f>
        <v>597.7</v>
      </c>
      <c r="H81" s="65" t="n">
        <f aca="false">G81+H18+H108</f>
        <v>627.465847691253</v>
      </c>
      <c r="I81" s="65" t="n">
        <f aca="false">H81+I18+I108</f>
        <v>694.085361035517</v>
      </c>
      <c r="J81" s="65" t="n">
        <f aca="false">I81+J18+J108</f>
        <v>778.28455612109</v>
      </c>
    </row>
    <row r="82" customFormat="false" ht="15" hidden="false" customHeight="true" outlineLevel="0" collapsed="false">
      <c r="A82" s="62" t="s">
        <v>293</v>
      </c>
      <c r="C82" s="76" t="n">
        <f aca="false">Historical!C82</f>
        <v>429.2</v>
      </c>
      <c r="D82" s="76" t="n">
        <f aca="false">Historical!D82</f>
        <v>446</v>
      </c>
      <c r="E82" s="76" t="n">
        <f aca="false">Historical!E82</f>
        <v>530.9</v>
      </c>
      <c r="F82" s="76" t="n">
        <f aca="false">Historical!F82</f>
        <v>570.5</v>
      </c>
      <c r="G82" s="76" t="n">
        <f aca="false">Historical!G82</f>
        <v>625.2</v>
      </c>
      <c r="H82" s="78" t="n">
        <f aca="false">SUM(H78:H81)</f>
        <v>654.965847691253</v>
      </c>
      <c r="I82" s="78" t="n">
        <f aca="false">SUM(I78:I81)</f>
        <v>721.585361035517</v>
      </c>
      <c r="J82" s="78" t="n">
        <f aca="false">SUM(J78:J81)</f>
        <v>805.78455612109</v>
      </c>
    </row>
    <row r="83" customFormat="false" ht="15" hidden="false" customHeight="true" outlineLevel="0" collapsed="false">
      <c r="A83" s="60" t="s">
        <v>294</v>
      </c>
      <c r="C83" s="76" t="n">
        <f aca="false">Historical!C83</f>
        <v>888.4</v>
      </c>
      <c r="D83" s="76" t="n">
        <f aca="false">Historical!D83</f>
        <v>974.4</v>
      </c>
      <c r="E83" s="76" t="n">
        <f aca="false">Historical!E83</f>
        <v>1129.7</v>
      </c>
      <c r="F83" s="76" t="n">
        <f aca="false">Historical!F83</f>
        <v>1319.7</v>
      </c>
      <c r="G83" s="76" t="n">
        <f aca="false">Historical!G83</f>
        <v>1484</v>
      </c>
      <c r="H83" s="79"/>
      <c r="I83" s="79"/>
      <c r="J83" s="79"/>
    </row>
    <row r="84" customFormat="false" ht="15" hidden="false" customHeight="true" outlineLevel="0" collapsed="false">
      <c r="A84" s="60" t="s">
        <v>295</v>
      </c>
      <c r="C84" s="76" t="n">
        <f aca="false">Historical!C84</f>
        <v>429.2</v>
      </c>
      <c r="D84" s="76" t="n">
        <f aca="false">Historical!D84</f>
        <v>446</v>
      </c>
      <c r="E84" s="76" t="n">
        <f aca="false">Historical!E84</f>
        <v>530.9</v>
      </c>
      <c r="F84" s="76" t="n">
        <f aca="false">Historical!F84</f>
        <v>570.5</v>
      </c>
      <c r="G84" s="76" t="n">
        <f aca="false">Historical!G84</f>
        <v>625.2</v>
      </c>
      <c r="H84" s="79"/>
      <c r="I84" s="79"/>
      <c r="J84" s="79"/>
    </row>
    <row r="86" customFormat="false" ht="15" hidden="false" customHeight="true" outlineLevel="0" collapsed="false">
      <c r="A86" s="58" t="s">
        <v>296</v>
      </c>
      <c r="B86" s="59"/>
      <c r="C86" s="59"/>
      <c r="D86" s="59"/>
      <c r="E86" s="59"/>
      <c r="F86" s="59"/>
      <c r="G86" s="59"/>
      <c r="H86" s="59"/>
      <c r="I86" s="59"/>
      <c r="J86" s="59"/>
    </row>
    <row r="87" customFormat="false" ht="15" hidden="false" customHeight="true" outlineLevel="0" collapsed="false">
      <c r="A87" s="60" t="s">
        <v>297</v>
      </c>
      <c r="C87" s="76" t="n">
        <f aca="false">Historical!C87</f>
        <v>198.6</v>
      </c>
      <c r="D87" s="76" t="n">
        <f aca="false">Historical!D87</f>
        <v>191.6</v>
      </c>
      <c r="E87" s="76" t="n">
        <f aca="false">Historical!E87</f>
        <v>195.3</v>
      </c>
      <c r="F87" s="76" t="n">
        <f aca="false">Historical!F87</f>
        <v>125.3</v>
      </c>
      <c r="G87" s="76" t="n">
        <f aca="false">Historical!G87</f>
        <v>45.8</v>
      </c>
      <c r="H87" s="65" t="n">
        <f aca="false">H61+H69</f>
        <v>60.041805073007</v>
      </c>
      <c r="I87" s="65" t="n">
        <f aca="false">I61+I69</f>
        <v>79.3320689702209</v>
      </c>
      <c r="J87" s="65" t="n">
        <f aca="false">J61+J69</f>
        <v>140.749757323111</v>
      </c>
    </row>
    <row r="88" customFormat="false" ht="15" hidden="false" customHeight="true" outlineLevel="0" collapsed="false">
      <c r="A88" s="60" t="s">
        <v>298</v>
      </c>
      <c r="C88" s="76" t="n">
        <f aca="false">Historical!C88</f>
        <v>-283.2</v>
      </c>
      <c r="D88" s="76" t="n">
        <f aca="false">Historical!D88</f>
        <v>-301.3</v>
      </c>
      <c r="E88" s="76" t="n">
        <f aca="false">Historical!E88</f>
        <v>-319.6</v>
      </c>
      <c r="F88" s="76" t="n">
        <f aca="false">Historical!F88</f>
        <v>-415.1</v>
      </c>
      <c r="G88" s="76" t="n">
        <f aca="false">Historical!G88</f>
        <v>-449.8</v>
      </c>
      <c r="H88" s="65" t="n">
        <f aca="false">H66+H71</f>
        <v>-463.723383247543</v>
      </c>
      <c r="I88" s="65" t="n">
        <f aca="false">I66+I71</f>
        <v>-478.30978474497</v>
      </c>
      <c r="J88" s="65" t="n">
        <f aca="false">J66+J71</f>
        <v>-492.896186242396</v>
      </c>
    </row>
    <row r="89" customFormat="false" ht="15" hidden="false" customHeight="true" outlineLevel="0" collapsed="false">
      <c r="A89" s="60" t="s">
        <v>299</v>
      </c>
      <c r="C89" s="76" t="n">
        <f aca="false">Historical!C89</f>
        <v>-84.6</v>
      </c>
      <c r="D89" s="76" t="n">
        <f aca="false">Historical!D89</f>
        <v>-109.7</v>
      </c>
      <c r="E89" s="76" t="n">
        <f aca="false">Historical!E89</f>
        <v>-124.3</v>
      </c>
      <c r="F89" s="76" t="n">
        <f aca="false">Historical!F89</f>
        <v>-289.8</v>
      </c>
      <c r="G89" s="76" t="n">
        <f aca="false">Historical!G89</f>
        <v>-404</v>
      </c>
      <c r="H89" s="65" t="n">
        <f aca="false">H87+H88</f>
        <v>-403.681578174536</v>
      </c>
      <c r="I89" s="65" t="n">
        <f aca="false">I87+I88</f>
        <v>-398.977715774749</v>
      </c>
      <c r="J89" s="65" t="n">
        <f aca="false">J87+J88</f>
        <v>-352.146428919285</v>
      </c>
    </row>
    <row r="91" customFormat="false" ht="15" hidden="false" customHeight="true" outlineLevel="0" collapsed="false">
      <c r="A91" s="58" t="s">
        <v>300</v>
      </c>
      <c r="B91" s="59"/>
      <c r="C91" s="59"/>
      <c r="D91" s="59"/>
      <c r="E91" s="59"/>
      <c r="F91" s="59"/>
      <c r="G91" s="59"/>
      <c r="H91" s="59"/>
      <c r="I91" s="59"/>
      <c r="J91" s="59"/>
    </row>
    <row r="92" customFormat="false" ht="15" hidden="false" customHeight="true" outlineLevel="0" collapsed="false">
      <c r="A92" s="60" t="s">
        <v>301</v>
      </c>
      <c r="C92" s="76" t="n">
        <f aca="false">Historical!C92</f>
        <v>312.1</v>
      </c>
      <c r="D92" s="76" t="n">
        <f aca="false">Historical!D92</f>
        <v>272.3</v>
      </c>
      <c r="E92" s="76" t="n">
        <f aca="false">Historical!E92</f>
        <v>333</v>
      </c>
      <c r="F92" s="76" t="n">
        <f aca="false">Historical!F92</f>
        <v>352.6</v>
      </c>
      <c r="G92" s="76" t="n">
        <f aca="false">Historical!G92</f>
        <v>383.7</v>
      </c>
      <c r="H92" s="65" t="n">
        <f aca="false">H13+H145+H144+H147-(H57-G57)-(H58-G58)-(H64-G64)-(H67-G67)</f>
        <v>382.910296127348</v>
      </c>
      <c r="I92" s="65" t="n">
        <f aca="false">I13+I145+I144+I147-(I57-H57)-(I58-H58)-(I64-H64)-(I67-H67)</f>
        <v>392.740660095834</v>
      </c>
      <c r="J92" s="65" t="n">
        <f aca="false">J13+J145+J144+J147-(J57-I57)-(J58-I58)-(J64-I64)-(J67-I67)</f>
        <v>441.49495004847</v>
      </c>
    </row>
    <row r="93" customFormat="false" ht="15" hidden="false" customHeight="true" outlineLevel="0" collapsed="false">
      <c r="A93" s="60" t="s">
        <v>303</v>
      </c>
      <c r="C93" s="76" t="n">
        <f aca="false">Historical!C93</f>
        <v>-19.2</v>
      </c>
      <c r="D93" s="76" t="n">
        <f aca="false">Historical!D93</f>
        <v>-13.3</v>
      </c>
      <c r="E93" s="76" t="n">
        <f aca="false">Historical!E93</f>
        <v>-11.9</v>
      </c>
      <c r="F93" s="76" t="n">
        <f aca="false">Historical!F93</f>
        <v>-27.7</v>
      </c>
      <c r="G93" s="76" t="n">
        <f aca="false">Historical!G93</f>
        <v>-31.5</v>
      </c>
      <c r="H93" s="65" t="n">
        <f aca="false">H17-(H72-G72)</f>
        <v>-28.5702206753051</v>
      </c>
      <c r="I93" s="65" t="n">
        <f aca="false">I17-(I72-H72)</f>
        <v>-44.5857587270388</v>
      </c>
      <c r="J93" s="65" t="n">
        <f aca="false">J17-(J72-I72)</f>
        <v>-52.3800257755425</v>
      </c>
    </row>
    <row r="94" customFormat="false" ht="15" hidden="false" customHeight="true" outlineLevel="0" collapsed="false">
      <c r="A94" s="60" t="s">
        <v>304</v>
      </c>
      <c r="C94" s="76" t="n">
        <f aca="false">Historical!C94</f>
        <v>0</v>
      </c>
      <c r="D94" s="76" t="n">
        <f aca="false">Historical!D94</f>
        <v>1.4</v>
      </c>
      <c r="E94" s="76" t="n">
        <f aca="false">Historical!E94</f>
        <v>6.1</v>
      </c>
      <c r="F94" s="76" t="n">
        <f aca="false">Historical!F94</f>
        <v>7.7</v>
      </c>
      <c r="G94" s="76" t="n">
        <f aca="false">Historical!G94</f>
        <v>2.1</v>
      </c>
      <c r="H94" s="65" t="n">
        <f aca="false">H14</f>
        <v>2.124</v>
      </c>
      <c r="I94" s="65" t="n">
        <f aca="false">I14</f>
        <v>2.55125415219021</v>
      </c>
      <c r="J94" s="65" t="n">
        <f aca="false">J14</f>
        <v>3.12996206910663</v>
      </c>
    </row>
    <row r="95" customFormat="false" ht="15" hidden="false" customHeight="true" outlineLevel="0" collapsed="false">
      <c r="A95" s="60" t="s">
        <v>305</v>
      </c>
      <c r="C95" s="76" t="n">
        <f aca="false">Historical!C95</f>
        <v>-6.3</v>
      </c>
      <c r="D95" s="76" t="n">
        <f aca="false">Historical!D95</f>
        <v>-6.8</v>
      </c>
      <c r="E95" s="76" t="n">
        <f aca="false">Historical!E95</f>
        <v>-9.6</v>
      </c>
      <c r="F95" s="76" t="n">
        <f aca="false">Historical!F95</f>
        <v>-13</v>
      </c>
      <c r="G95" s="76" t="n">
        <f aca="false">Historical!G95</f>
        <v>-16.7</v>
      </c>
      <c r="H95" s="65" t="n">
        <f aca="false">-H150</f>
        <v>-21.5904</v>
      </c>
      <c r="I95" s="65" t="n">
        <f aca="false">-I150</f>
        <v>-22.2587223958821</v>
      </c>
      <c r="J95" s="65" t="n">
        <f aca="false">-J150</f>
        <v>-22.9588696677585</v>
      </c>
    </row>
    <row r="96" customFormat="false" ht="15" hidden="false" customHeight="true" outlineLevel="0" collapsed="false">
      <c r="A96" s="60" t="s">
        <v>306</v>
      </c>
      <c r="C96" s="76" t="n">
        <f aca="false">Historical!C96</f>
        <v>-1.1</v>
      </c>
      <c r="D96" s="76" t="n">
        <f aca="false">Historical!D96</f>
        <v>-0.7</v>
      </c>
      <c r="E96" s="76" t="n">
        <f aca="false">Historical!E96</f>
        <v>-0.7</v>
      </c>
      <c r="F96" s="76" t="n">
        <f aca="false">Historical!F96</f>
        <v>-1</v>
      </c>
      <c r="G96" s="76" t="n">
        <f aca="false">Historical!G96</f>
        <v>-0.6</v>
      </c>
      <c r="H96" s="65" t="n">
        <f aca="false">-H151</f>
        <v>-1.25</v>
      </c>
      <c r="I96" s="65" t="n">
        <f aca="false">-I151</f>
        <v>-1.25</v>
      </c>
      <c r="J96" s="65" t="n">
        <f aca="false">-J151</f>
        <v>-1.25</v>
      </c>
    </row>
    <row r="97" customFormat="false" ht="15" hidden="false" customHeight="true" outlineLevel="0" collapsed="false">
      <c r="A97" s="62" t="s">
        <v>307</v>
      </c>
      <c r="B97" s="56" t="s">
        <v>400</v>
      </c>
      <c r="C97" s="76" t="n">
        <f aca="false">Historical!C97</f>
        <v>285.5</v>
      </c>
      <c r="D97" s="76" t="n">
        <f aca="false">Historical!D97</f>
        <v>252.9</v>
      </c>
      <c r="E97" s="76" t="n">
        <f aca="false">Historical!E97</f>
        <v>316.9</v>
      </c>
      <c r="F97" s="76" t="n">
        <f aca="false">Historical!F97</f>
        <v>318.6</v>
      </c>
      <c r="G97" s="76" t="n">
        <f aca="false">Historical!G97</f>
        <v>337</v>
      </c>
      <c r="H97" s="78" t="n">
        <f aca="false">SUM(H92:H96)</f>
        <v>333.623675452043</v>
      </c>
      <c r="I97" s="78" t="n">
        <f aca="false">SUM(I92:I96)</f>
        <v>327.197433125103</v>
      </c>
      <c r="J97" s="78" t="n">
        <f aca="false">SUM(J92:J96)</f>
        <v>368.036016674275</v>
      </c>
    </row>
    <row r="98" customFormat="false" ht="15" hidden="false" customHeight="true" outlineLevel="0" collapsed="false">
      <c r="A98" s="60" t="s">
        <v>308</v>
      </c>
      <c r="C98" s="76" t="n">
        <f aca="false">Historical!C98</f>
        <v>-50.5</v>
      </c>
      <c r="D98" s="76" t="n">
        <f aca="false">Historical!D98</f>
        <v>-100</v>
      </c>
      <c r="E98" s="76" t="n">
        <f aca="false">Historical!E98</f>
        <v>-189.5</v>
      </c>
      <c r="F98" s="76" t="n">
        <f aca="false">Historical!F98</f>
        <v>-230</v>
      </c>
      <c r="G98" s="76" t="n">
        <f aca="false">Historical!G98</f>
        <v>-263.3</v>
      </c>
      <c r="H98" s="65" t="n">
        <f aca="false">-H143</f>
        <v>-165.6</v>
      </c>
      <c r="I98" s="65" t="n">
        <f aca="false">-I143</f>
        <v>-151.8</v>
      </c>
      <c r="J98" s="65" t="n">
        <f aca="false">-J143</f>
        <v>-147.2</v>
      </c>
    </row>
    <row r="99" customFormat="false" ht="15" hidden="false" customHeight="true" outlineLevel="0" collapsed="false">
      <c r="A99" s="60" t="s">
        <v>309</v>
      </c>
      <c r="C99" s="76" t="n">
        <f aca="false">Historical!C99</f>
        <v>-3.8</v>
      </c>
      <c r="D99" s="76" t="n">
        <f aca="false">Historical!D99</f>
        <v>-3.3</v>
      </c>
      <c r="E99" s="76" t="n">
        <f aca="false">Historical!E99</f>
        <v>-8.6</v>
      </c>
      <c r="F99" s="76" t="n">
        <f aca="false">Historical!F99</f>
        <v>-10.9</v>
      </c>
      <c r="G99" s="76" t="n">
        <f aca="false">Historical!G99</f>
        <v>-22.1</v>
      </c>
      <c r="H99" s="65" t="n">
        <f aca="false">-H142</f>
        <v>-14.4</v>
      </c>
      <c r="I99" s="65" t="n">
        <f aca="false">-I142</f>
        <v>-13.2</v>
      </c>
      <c r="J99" s="65" t="n">
        <f aca="false">-J142</f>
        <v>-12.8</v>
      </c>
    </row>
    <row r="100" customFormat="false" ht="15" hidden="false" customHeight="true" outlineLevel="0" collapsed="false">
      <c r="A100" s="60" t="s">
        <v>310</v>
      </c>
      <c r="C100" s="76" t="n">
        <f aca="false">Historical!C100</f>
        <v>0.3</v>
      </c>
      <c r="D100" s="76" t="n">
        <f aca="false">Historical!D100</f>
        <v>0.9</v>
      </c>
      <c r="E100" s="76" t="n">
        <f aca="false">Historical!E100</f>
        <v>0.8</v>
      </c>
      <c r="F100" s="76" t="n">
        <f aca="false">Historical!F100</f>
        <v>16.1</v>
      </c>
      <c r="G100" s="76" t="n">
        <f aca="false">Historical!G100</f>
        <v>0.9</v>
      </c>
      <c r="H100" s="65" t="n">
        <f aca="false">0</f>
        <v>0</v>
      </c>
      <c r="I100" s="65" t="n">
        <f aca="false">0</f>
        <v>0</v>
      </c>
      <c r="J100" s="65" t="n">
        <f aca="false">0</f>
        <v>0</v>
      </c>
    </row>
    <row r="101" customFormat="false" ht="15" hidden="false" customHeight="true" outlineLevel="0" collapsed="false">
      <c r="A101" s="60" t="s">
        <v>311</v>
      </c>
      <c r="C101" s="76" t="n">
        <f aca="false">Historical!C101</f>
        <v>0</v>
      </c>
      <c r="D101" s="76" t="n">
        <f aca="false">Historical!D101</f>
        <v>1.6</v>
      </c>
      <c r="E101" s="76" t="n">
        <f aca="false">Historical!E101</f>
        <v>0</v>
      </c>
      <c r="F101" s="76" t="n">
        <f aca="false">Historical!F101</f>
        <v>0</v>
      </c>
      <c r="G101" s="76" t="n">
        <f aca="false">Historical!G101</f>
        <v>0</v>
      </c>
      <c r="H101" s="65" t="n">
        <f aca="false">0</f>
        <v>0</v>
      </c>
      <c r="I101" s="65" t="n">
        <f aca="false">0</f>
        <v>0</v>
      </c>
      <c r="J101" s="65" t="n">
        <f aca="false">0</f>
        <v>0</v>
      </c>
    </row>
    <row r="102" customFormat="false" ht="15" hidden="false" customHeight="true" outlineLevel="0" collapsed="false">
      <c r="A102" s="62" t="s">
        <v>312</v>
      </c>
      <c r="C102" s="76" t="n">
        <f aca="false">Historical!C102</f>
        <v>-54</v>
      </c>
      <c r="D102" s="76" t="n">
        <f aca="false">Historical!D102</f>
        <v>-100.8</v>
      </c>
      <c r="E102" s="76" t="n">
        <f aca="false">Historical!E102</f>
        <v>-197.3</v>
      </c>
      <c r="F102" s="76" t="n">
        <f aca="false">Historical!F102</f>
        <v>-224.8</v>
      </c>
      <c r="G102" s="76" t="n">
        <f aca="false">Historical!G102</f>
        <v>-284.5</v>
      </c>
      <c r="H102" s="78" t="n">
        <f aca="false">SUM(H98:H101)</f>
        <v>-180</v>
      </c>
      <c r="I102" s="78" t="n">
        <f aca="false">SUM(I98:I101)</f>
        <v>-165</v>
      </c>
      <c r="J102" s="78" t="n">
        <f aca="false">SUM(J98:J101)</f>
        <v>-160</v>
      </c>
    </row>
    <row r="103" customFormat="false" ht="15" hidden="false" customHeight="true" outlineLevel="0" collapsed="false">
      <c r="A103" s="60" t="s">
        <v>313</v>
      </c>
      <c r="C103" s="76" t="n">
        <f aca="false">Historical!C103</f>
        <v>0</v>
      </c>
      <c r="D103" s="76" t="n">
        <f aca="false">Historical!D103</f>
        <v>0</v>
      </c>
      <c r="E103" s="76" t="n">
        <f aca="false">Historical!E103</f>
        <v>0</v>
      </c>
      <c r="F103" s="76" t="n">
        <f aca="false">Historical!F103</f>
        <v>0</v>
      </c>
      <c r="G103" s="76" t="n">
        <f aca="false">Historical!G103</f>
        <v>40</v>
      </c>
      <c r="H103" s="65" t="n">
        <f aca="false">0</f>
        <v>0</v>
      </c>
      <c r="I103" s="65" t="n">
        <f aca="false">0</f>
        <v>0</v>
      </c>
      <c r="J103" s="65" t="n">
        <f aca="false">0</f>
        <v>0</v>
      </c>
    </row>
    <row r="104" customFormat="false" ht="15" hidden="false" customHeight="true" outlineLevel="0" collapsed="false">
      <c r="A104" s="60" t="s">
        <v>314</v>
      </c>
      <c r="C104" s="76" t="n">
        <f aca="false">Historical!C104</f>
        <v>0</v>
      </c>
      <c r="D104" s="76" t="n">
        <f aca="false">Historical!D104</f>
        <v>0</v>
      </c>
      <c r="E104" s="76" t="n">
        <f aca="false">Historical!E104</f>
        <v>0</v>
      </c>
      <c r="F104" s="76" t="n">
        <f aca="false">Historical!F104</f>
        <v>0</v>
      </c>
      <c r="G104" s="76" t="n">
        <f aca="false">Historical!G104</f>
        <v>-15</v>
      </c>
      <c r="H104" s="65" t="n">
        <f aca="false">0</f>
        <v>0</v>
      </c>
      <c r="I104" s="65" t="n">
        <f aca="false">0</f>
        <v>0</v>
      </c>
      <c r="J104" s="65" t="n">
        <f aca="false">0</f>
        <v>0</v>
      </c>
    </row>
    <row r="105" customFormat="false" ht="15" hidden="false" customHeight="true" outlineLevel="0" collapsed="false">
      <c r="A105" s="60" t="s">
        <v>315</v>
      </c>
      <c r="C105" s="76" t="n">
        <f aca="false">Historical!C105</f>
        <v>4.3</v>
      </c>
      <c r="D105" s="76" t="n">
        <f aca="false">Historical!D105</f>
        <v>3.1</v>
      </c>
      <c r="E105" s="76" t="n">
        <f aca="false">Historical!E105</f>
        <v>2</v>
      </c>
      <c r="F105" s="76" t="n">
        <f aca="false">Historical!F105</f>
        <v>0</v>
      </c>
      <c r="G105" s="76" t="n">
        <f aca="false">Historical!G105</f>
        <v>0</v>
      </c>
      <c r="H105" s="65" t="n">
        <f aca="false">0</f>
        <v>0</v>
      </c>
      <c r="I105" s="65" t="n">
        <f aca="false">0</f>
        <v>0</v>
      </c>
      <c r="J105" s="65" t="n">
        <f aca="false">0</f>
        <v>0</v>
      </c>
    </row>
    <row r="106" customFormat="false" ht="15" hidden="false" customHeight="true" outlineLevel="0" collapsed="false">
      <c r="A106" s="60" t="s">
        <v>316</v>
      </c>
      <c r="C106" s="76" t="n">
        <f aca="false">Historical!C106</f>
        <v>0.3</v>
      </c>
      <c r="D106" s="76" t="n">
        <f aca="false">Historical!D106</f>
        <v>0</v>
      </c>
      <c r="E106" s="76" t="n">
        <f aca="false">Historical!E106</f>
        <v>1.6</v>
      </c>
      <c r="F106" s="76" t="n">
        <f aca="false">Historical!F106</f>
        <v>4.7</v>
      </c>
      <c r="G106" s="76" t="n">
        <f aca="false">Historical!G106</f>
        <v>1.6</v>
      </c>
      <c r="H106" s="65" t="n">
        <f aca="false">0</f>
        <v>0</v>
      </c>
      <c r="I106" s="65" t="n">
        <f aca="false">0</f>
        <v>0</v>
      </c>
      <c r="J106" s="65" t="n">
        <f aca="false">0</f>
        <v>0</v>
      </c>
    </row>
    <row r="107" customFormat="false" ht="15" hidden="false" customHeight="true" outlineLevel="0" collapsed="false">
      <c r="A107" s="60" t="s">
        <v>317</v>
      </c>
      <c r="C107" s="76" t="n">
        <f aca="false">Historical!C107</f>
        <v>-10</v>
      </c>
      <c r="D107" s="76" t="n">
        <f aca="false">Historical!D107</f>
        <v>-11</v>
      </c>
      <c r="E107" s="76" t="n">
        <f aca="false">Historical!E107</f>
        <v>-5</v>
      </c>
      <c r="F107" s="76" t="n">
        <f aca="false">Historical!F107</f>
        <v>-5</v>
      </c>
      <c r="G107" s="76" t="n">
        <f aca="false">Historical!G107</f>
        <v>0</v>
      </c>
      <c r="H107" s="65" t="n">
        <f aca="false">0</f>
        <v>0</v>
      </c>
      <c r="I107" s="65" t="n">
        <f aca="false">0</f>
        <v>0</v>
      </c>
      <c r="J107" s="65" t="n">
        <f aca="false">0</f>
        <v>0</v>
      </c>
    </row>
    <row r="108" customFormat="false" ht="15" hidden="false" customHeight="true" outlineLevel="0" collapsed="false">
      <c r="A108" s="60" t="s">
        <v>318</v>
      </c>
      <c r="B108" s="56" t="s">
        <v>401</v>
      </c>
      <c r="C108" s="76" t="n">
        <f aca="false">Historical!C108</f>
        <v>-15.3</v>
      </c>
      <c r="D108" s="76" t="n">
        <f aca="false">Historical!D108</f>
        <v>-98.5</v>
      </c>
      <c r="E108" s="76" t="n">
        <f aca="false">Historical!E108</f>
        <v>-60.8</v>
      </c>
      <c r="F108" s="76" t="n">
        <f aca="false">Historical!F108</f>
        <v>-106.8</v>
      </c>
      <c r="G108" s="76" t="n">
        <f aca="false">Historical!G108</f>
        <v>-70.3</v>
      </c>
      <c r="H108" s="65" t="n">
        <f aca="false">-H158</f>
        <v>-70.311</v>
      </c>
      <c r="I108" s="65" t="n">
        <f aca="false">-I158</f>
        <v>-71.71722</v>
      </c>
      <c r="J108" s="65" t="n">
        <f aca="false">-J158</f>
        <v>-73.1515644</v>
      </c>
    </row>
    <row r="109" customFormat="false" ht="15" hidden="false" customHeight="true" outlineLevel="0" collapsed="false">
      <c r="A109" s="60" t="s">
        <v>319</v>
      </c>
      <c r="C109" s="76" t="n">
        <f aca="false">Historical!C109</f>
        <v>-49</v>
      </c>
      <c r="D109" s="76" t="n">
        <f aca="false">Historical!D109</f>
        <v>-52.7</v>
      </c>
      <c r="E109" s="76" t="n">
        <f aca="false">Historical!E109</f>
        <v>-53.7</v>
      </c>
      <c r="F109" s="76" t="n">
        <f aca="false">Historical!F109</f>
        <v>-56.7</v>
      </c>
      <c r="G109" s="76" t="n">
        <f aca="false">Historical!G109</f>
        <v>-63.3</v>
      </c>
      <c r="H109" s="65" t="n">
        <f aca="false">-H149</f>
        <v>-69.070870379036</v>
      </c>
      <c r="I109" s="65" t="n">
        <f aca="false">-I149</f>
        <v>-71.1899492278895</v>
      </c>
      <c r="J109" s="65" t="n">
        <f aca="false">-J149</f>
        <v>-73.4667639213851</v>
      </c>
    </row>
    <row r="110" customFormat="false" ht="15" hidden="false" customHeight="true" outlineLevel="0" collapsed="false">
      <c r="A110" s="62" t="s">
        <v>320</v>
      </c>
      <c r="C110" s="76" t="n">
        <f aca="false">Historical!C110</f>
        <v>-69.7</v>
      </c>
      <c r="D110" s="76" t="n">
        <f aca="false">Historical!D110</f>
        <v>-159.1</v>
      </c>
      <c r="E110" s="76" t="n">
        <f aca="false">Historical!E110</f>
        <v>-115.9</v>
      </c>
      <c r="F110" s="76" t="n">
        <f aca="false">Historical!F110</f>
        <v>-163.8</v>
      </c>
      <c r="G110" s="76" t="n">
        <f aca="false">Historical!G110</f>
        <v>-107</v>
      </c>
      <c r="H110" s="78" t="n">
        <f aca="false">SUM(H103:H109)</f>
        <v>-139.381870379036</v>
      </c>
      <c r="I110" s="78" t="n">
        <f aca="false">SUM(I103:I109)</f>
        <v>-142.907169227889</v>
      </c>
      <c r="J110" s="78" t="n">
        <f aca="false">SUM(J103:J109)</f>
        <v>-146.618328321385</v>
      </c>
    </row>
    <row r="111" customFormat="false" ht="15" hidden="false" customHeight="true" outlineLevel="0" collapsed="false">
      <c r="A111" s="62" t="s">
        <v>321</v>
      </c>
      <c r="C111" s="76" t="n">
        <f aca="false">Historical!C111</f>
        <v>161.8</v>
      </c>
      <c r="D111" s="76" t="n">
        <f aca="false">Historical!D111</f>
        <v>-6.99999999999997</v>
      </c>
      <c r="E111" s="76" t="n">
        <f aca="false">Historical!E111</f>
        <v>3.69999999999996</v>
      </c>
      <c r="F111" s="76" t="n">
        <f aca="false">Historical!F111</f>
        <v>-70</v>
      </c>
      <c r="G111" s="76" t="n">
        <f aca="false">Historical!G111</f>
        <v>-54.5</v>
      </c>
      <c r="H111" s="78" t="n">
        <f aca="false">H97+H102+H110</f>
        <v>14.241805073007</v>
      </c>
      <c r="I111" s="78" t="n">
        <f aca="false">I97+I102+I110</f>
        <v>19.2902638972138</v>
      </c>
      <c r="J111" s="78" t="n">
        <f aca="false">J97+J102+J110</f>
        <v>61.4176883528901</v>
      </c>
    </row>
    <row r="112" customFormat="false" ht="15" hidden="false" customHeight="true" outlineLevel="0" collapsed="false">
      <c r="A112" s="60" t="s">
        <v>322</v>
      </c>
      <c r="C112" s="76" t="n">
        <f aca="false">Historical!C112</f>
        <v>36.8</v>
      </c>
      <c r="D112" s="76" t="n">
        <f aca="false">Historical!D112</f>
        <v>198.6</v>
      </c>
      <c r="E112" s="76" t="n">
        <f aca="false">Historical!E112</f>
        <v>191.6</v>
      </c>
      <c r="F112" s="76" t="n">
        <f aca="false">Historical!F112</f>
        <v>195.3</v>
      </c>
      <c r="G112" s="76" t="n">
        <f aca="false">Historical!G112</f>
        <v>125.3</v>
      </c>
      <c r="H112" s="65" t="n">
        <f aca="false">G113</f>
        <v>70.8</v>
      </c>
      <c r="I112" s="65" t="n">
        <f aca="false">H113</f>
        <v>85.041805073007</v>
      </c>
      <c r="J112" s="65" t="n">
        <f aca="false">I113</f>
        <v>104.332068970221</v>
      </c>
    </row>
    <row r="113" customFormat="false" ht="15" hidden="false" customHeight="true" outlineLevel="0" collapsed="false">
      <c r="A113" s="62" t="s">
        <v>324</v>
      </c>
      <c r="C113" s="76" t="n">
        <f aca="false">Historical!C113</f>
        <v>198.6</v>
      </c>
      <c r="D113" s="76" t="n">
        <f aca="false">Historical!D113</f>
        <v>191.6</v>
      </c>
      <c r="E113" s="76" t="n">
        <f aca="false">Historical!E113</f>
        <v>195.3</v>
      </c>
      <c r="F113" s="76" t="n">
        <f aca="false">Historical!F113</f>
        <v>125.3</v>
      </c>
      <c r="G113" s="76" t="n">
        <f aca="false">Historical!G113</f>
        <v>70.8</v>
      </c>
      <c r="H113" s="78" t="n">
        <f aca="false">H112+H111</f>
        <v>85.041805073007</v>
      </c>
      <c r="I113" s="78" t="n">
        <f aca="false">I112+I111</f>
        <v>104.332068970221</v>
      </c>
      <c r="J113" s="78" t="n">
        <f aca="false">J112+J111</f>
        <v>165.749757323111</v>
      </c>
    </row>
    <row r="114" customFormat="false" ht="15" hidden="false" customHeight="true" outlineLevel="0" collapsed="false">
      <c r="A114" s="60" t="s">
        <v>325</v>
      </c>
      <c r="C114" s="76" t="n">
        <f aca="false">Historical!C114</f>
        <v>161.8</v>
      </c>
      <c r="D114" s="76" t="n">
        <f aca="false">Historical!D114</f>
        <v>-7</v>
      </c>
      <c r="E114" s="76" t="n">
        <f aca="false">Historical!E114</f>
        <v>3.7</v>
      </c>
      <c r="F114" s="76" t="n">
        <f aca="false">Historical!F114</f>
        <v>-70</v>
      </c>
      <c r="G114" s="76" t="n">
        <f aca="false">Historical!G114</f>
        <v>-54.5</v>
      </c>
      <c r="H114" s="79"/>
      <c r="I114" s="79"/>
      <c r="J114" s="79"/>
    </row>
    <row r="116" customFormat="false" ht="15" hidden="false" customHeight="true" outlineLevel="0" collapsed="false">
      <c r="A116" s="58" t="s">
        <v>326</v>
      </c>
      <c r="B116" s="59"/>
      <c r="C116" s="59"/>
      <c r="D116" s="59"/>
      <c r="E116" s="59"/>
      <c r="F116" s="59"/>
      <c r="G116" s="59"/>
      <c r="H116" s="59"/>
      <c r="I116" s="59"/>
      <c r="J116" s="59"/>
    </row>
    <row r="117" customFormat="false" ht="15" hidden="false" customHeight="true" outlineLevel="0" collapsed="false">
      <c r="A117" s="60" t="s">
        <v>327</v>
      </c>
      <c r="C117" s="76" t="n">
        <f aca="false">Historical!C117</f>
        <v>-54.3</v>
      </c>
      <c r="D117" s="76" t="n">
        <f aca="false">Historical!D117</f>
        <v>-103.3</v>
      </c>
      <c r="E117" s="76" t="n">
        <f aca="false">Historical!E117</f>
        <v>-198.1</v>
      </c>
      <c r="F117" s="76" t="n">
        <f aca="false">Historical!F117</f>
        <v>-240.9</v>
      </c>
      <c r="G117" s="76" t="n">
        <f aca="false">Historical!G117</f>
        <v>-285.4</v>
      </c>
      <c r="H117" s="65" t="n">
        <f aca="false">H98+H99</f>
        <v>-180</v>
      </c>
      <c r="I117" s="65" t="n">
        <f aca="false">I98+I99</f>
        <v>-165</v>
      </c>
      <c r="J117" s="65" t="n">
        <f aca="false">J98+J99</f>
        <v>-160</v>
      </c>
    </row>
    <row r="118" customFormat="false" ht="15" hidden="false" customHeight="true" outlineLevel="0" collapsed="false">
      <c r="A118" s="60" t="s">
        <v>36</v>
      </c>
      <c r="C118" s="76" t="n">
        <f aca="false">Historical!C118</f>
        <v>182.2</v>
      </c>
      <c r="D118" s="76" t="n">
        <f aca="false">Historical!D118</f>
        <v>96.9</v>
      </c>
      <c r="E118" s="76" t="n">
        <f aca="false">Historical!E118</f>
        <v>65.1</v>
      </c>
      <c r="F118" s="76" t="n">
        <f aca="false">Historical!F118</f>
        <v>21</v>
      </c>
      <c r="G118" s="76" t="n">
        <f aca="false">Historical!G118</f>
        <v>-11.7</v>
      </c>
      <c r="H118" s="65" t="n">
        <f aca="false">H97+H117+H109</f>
        <v>84.552805073007</v>
      </c>
      <c r="I118" s="65" t="n">
        <f aca="false">I97+I117+I109</f>
        <v>91.0074838972138</v>
      </c>
      <c r="J118" s="65" t="n">
        <f aca="false">J97+J117+J109</f>
        <v>134.56925275289</v>
      </c>
    </row>
    <row r="120" customFormat="false" ht="15" hidden="false" customHeight="true" outlineLevel="0" collapsed="false">
      <c r="A120" s="58" t="s">
        <v>328</v>
      </c>
      <c r="B120" s="59"/>
      <c r="C120" s="59"/>
      <c r="D120" s="59"/>
      <c r="E120" s="59"/>
      <c r="F120" s="59"/>
      <c r="G120" s="59"/>
      <c r="H120" s="59"/>
      <c r="I120" s="59"/>
      <c r="J120" s="59"/>
    </row>
    <row r="121" customFormat="false" ht="15" hidden="false" customHeight="true" outlineLevel="0" collapsed="false">
      <c r="A121" s="60" t="s">
        <v>226</v>
      </c>
      <c r="C121" s="76" t="n">
        <f aca="false">Historical!C121</f>
        <v>117.5</v>
      </c>
      <c r="D121" s="76" t="n">
        <f aca="false">Historical!D121</f>
        <v>120.3</v>
      </c>
      <c r="E121" s="76" t="n">
        <f aca="false">Historical!E121</f>
        <v>142.5</v>
      </c>
      <c r="F121" s="76" t="n">
        <f aca="false">Historical!F121</f>
        <v>153.4</v>
      </c>
      <c r="G121" s="76" t="n">
        <f aca="false">Historical!G121</f>
        <v>122.2</v>
      </c>
      <c r="H121" s="79"/>
      <c r="I121" s="79"/>
      <c r="J121" s="79"/>
    </row>
    <row r="122" customFormat="false" ht="15" hidden="false" customHeight="true" outlineLevel="0" collapsed="false">
      <c r="A122" s="60" t="s">
        <v>330</v>
      </c>
      <c r="C122" s="76" t="n">
        <f aca="false">Historical!C122</f>
        <v>4.5</v>
      </c>
      <c r="D122" s="76" t="n">
        <f aca="false">Historical!D122</f>
        <v>4.7</v>
      </c>
      <c r="E122" s="76" t="n">
        <f aca="false">Historical!E122</f>
        <v>3.9</v>
      </c>
      <c r="F122" s="76" t="n">
        <f aca="false">Historical!F122</f>
        <v>4.2</v>
      </c>
      <c r="G122" s="76" t="n">
        <f aca="false">Historical!G122</f>
        <v>4.7</v>
      </c>
      <c r="H122" s="79"/>
      <c r="I122" s="79"/>
      <c r="J122" s="79"/>
    </row>
    <row r="123" customFormat="false" ht="15" hidden="false" customHeight="true" outlineLevel="0" collapsed="false">
      <c r="A123" s="60" t="s">
        <v>331</v>
      </c>
      <c r="C123" s="76" t="n">
        <f aca="false">Historical!C123</f>
        <v>54.2</v>
      </c>
      <c r="D123" s="76" t="n">
        <f aca="false">Historical!D123</f>
        <v>58</v>
      </c>
      <c r="E123" s="76" t="n">
        <f aca="false">Historical!E123</f>
        <v>66.6</v>
      </c>
      <c r="F123" s="76" t="n">
        <f aca="false">Historical!F123</f>
        <v>76.6</v>
      </c>
      <c r="G123" s="76" t="n">
        <f aca="false">Historical!G123</f>
        <v>90.7</v>
      </c>
      <c r="H123" s="79"/>
      <c r="I123" s="79"/>
      <c r="J123" s="79"/>
    </row>
    <row r="124" customFormat="false" ht="15" hidden="false" customHeight="true" outlineLevel="0" collapsed="false">
      <c r="A124" s="60" t="s">
        <v>332</v>
      </c>
      <c r="C124" s="76" t="n">
        <f aca="false">Historical!C124</f>
        <v>48.7</v>
      </c>
      <c r="D124" s="76" t="n">
        <f aca="false">Historical!D124</f>
        <v>52.8</v>
      </c>
      <c r="E124" s="76" t="n">
        <f aca="false">Historical!E124</f>
        <v>54.5</v>
      </c>
      <c r="F124" s="76" t="n">
        <f aca="false">Historical!F124</f>
        <v>59.2</v>
      </c>
      <c r="G124" s="76" t="n">
        <f aca="false">Historical!G124</f>
        <v>65.2</v>
      </c>
      <c r="H124" s="79"/>
      <c r="I124" s="79"/>
      <c r="J124" s="79"/>
    </row>
    <row r="125" customFormat="false" ht="15" hidden="false" customHeight="true" outlineLevel="0" collapsed="false">
      <c r="A125" s="60" t="s">
        <v>333</v>
      </c>
      <c r="C125" s="76" t="n">
        <f aca="false">Historical!C125</f>
        <v>-1.9</v>
      </c>
      <c r="D125" s="76" t="n">
        <f aca="false">Historical!D125</f>
        <v>1.2</v>
      </c>
      <c r="E125" s="76" t="n">
        <f aca="false">Historical!E125</f>
        <v>1.4</v>
      </c>
      <c r="F125" s="76" t="n">
        <f aca="false">Historical!F125</f>
        <v>2.9</v>
      </c>
      <c r="G125" s="76" t="n">
        <f aca="false">Historical!G125</f>
        <v>3.9</v>
      </c>
      <c r="H125" s="79"/>
      <c r="I125" s="79"/>
      <c r="J125" s="79"/>
    </row>
    <row r="126" customFormat="false" ht="15" hidden="false" customHeight="true" outlineLevel="0" collapsed="false">
      <c r="A126" s="60" t="s">
        <v>334</v>
      </c>
      <c r="C126" s="76" t="n">
        <f aca="false">Historical!C126</f>
        <v>-1.6</v>
      </c>
      <c r="D126" s="76" t="n">
        <f aca="false">Historical!D126</f>
        <v>0</v>
      </c>
      <c r="E126" s="76" t="n">
        <f aca="false">Historical!E126</f>
        <v>2.5</v>
      </c>
      <c r="F126" s="76" t="n">
        <f aca="false">Historical!F126</f>
        <v>2.1</v>
      </c>
      <c r="G126" s="76" t="n">
        <f aca="false">Historical!G126</f>
        <v>3</v>
      </c>
      <c r="H126" s="79"/>
      <c r="I126" s="79"/>
      <c r="J126" s="79"/>
    </row>
    <row r="127" customFormat="false" ht="15" hidden="false" customHeight="true" outlineLevel="0" collapsed="false">
      <c r="A127" s="60" t="s">
        <v>335</v>
      </c>
      <c r="C127" s="76" t="n">
        <f aca="false">Historical!C127</f>
        <v>0.9</v>
      </c>
      <c r="D127" s="76" t="n">
        <f aca="false">Historical!D127</f>
        <v>1</v>
      </c>
      <c r="E127" s="76" t="n">
        <f aca="false">Historical!E127</f>
        <v>2</v>
      </c>
      <c r="F127" s="76" t="n">
        <f aca="false">Historical!F127</f>
        <v>-11.8</v>
      </c>
      <c r="G127" s="76" t="n">
        <f aca="false">Historical!G127</f>
        <v>1.7</v>
      </c>
      <c r="H127" s="79"/>
      <c r="I127" s="79"/>
      <c r="J127" s="79"/>
    </row>
    <row r="128" customFormat="false" ht="15" hidden="false" customHeight="true" outlineLevel="0" collapsed="false">
      <c r="A128" s="60" t="s">
        <v>336</v>
      </c>
      <c r="C128" s="76" t="n">
        <f aca="false">Historical!C128</f>
        <v>-0.5</v>
      </c>
      <c r="D128" s="76" t="n">
        <f aca="false">Historical!D128</f>
        <v>-0.4</v>
      </c>
      <c r="E128" s="76" t="n">
        <f aca="false">Historical!E128</f>
        <v>-0.5</v>
      </c>
      <c r="F128" s="76" t="n">
        <f aca="false">Historical!F128</f>
        <v>-0.5</v>
      </c>
      <c r="G128" s="76" t="n">
        <f aca="false">Historical!G128</f>
        <v>-0.5</v>
      </c>
      <c r="H128" s="79"/>
      <c r="I128" s="79"/>
      <c r="J128" s="79"/>
    </row>
    <row r="129" customFormat="false" ht="15" hidden="false" customHeight="true" outlineLevel="0" collapsed="false">
      <c r="A129" s="60" t="s">
        <v>337</v>
      </c>
      <c r="C129" s="76" t="n">
        <f aca="false">Historical!C129</f>
        <v>2.2</v>
      </c>
      <c r="D129" s="76" t="n">
        <f aca="false">Historical!D129</f>
        <v>3.6</v>
      </c>
      <c r="E129" s="76" t="n">
        <f aca="false">Historical!E129</f>
        <v>4.6</v>
      </c>
      <c r="F129" s="76" t="n">
        <f aca="false">Historical!F129</f>
        <v>4.5</v>
      </c>
      <c r="G129" s="76" t="n">
        <f aca="false">Historical!G129</f>
        <v>1.5</v>
      </c>
      <c r="H129" s="79"/>
      <c r="I129" s="79"/>
      <c r="J129" s="79"/>
    </row>
    <row r="130" customFormat="false" ht="15" hidden="false" customHeight="true" outlineLevel="0" collapsed="false">
      <c r="A130" s="60" t="s">
        <v>221</v>
      </c>
      <c r="C130" s="76" t="n">
        <f aca="false">Historical!C130</f>
        <v>0</v>
      </c>
      <c r="D130" s="76" t="n">
        <f aca="false">Historical!D130</f>
        <v>0</v>
      </c>
      <c r="E130" s="76" t="n">
        <f aca="false">Historical!E130</f>
        <v>-6.1</v>
      </c>
      <c r="F130" s="76" t="n">
        <f aca="false">Historical!F130</f>
        <v>-8.1</v>
      </c>
      <c r="G130" s="76" t="n">
        <f aca="false">Historical!G130</f>
        <v>-1.8</v>
      </c>
      <c r="H130" s="79"/>
      <c r="I130" s="79"/>
      <c r="J130" s="79"/>
    </row>
    <row r="131" customFormat="false" ht="15" hidden="false" customHeight="true" outlineLevel="0" collapsed="false">
      <c r="A131" s="60" t="s">
        <v>223</v>
      </c>
      <c r="C131" s="76" t="n">
        <f aca="false">Historical!C131</f>
        <v>7.6</v>
      </c>
      <c r="D131" s="76" t="n">
        <f aca="false">Historical!D131</f>
        <v>6.1</v>
      </c>
      <c r="E131" s="76" t="n">
        <f aca="false">Historical!E131</f>
        <v>10.1</v>
      </c>
      <c r="F131" s="76" t="n">
        <f aca="false">Historical!F131</f>
        <v>13.6</v>
      </c>
      <c r="G131" s="76" t="n">
        <f aca="false">Historical!G131</f>
        <v>18.1</v>
      </c>
      <c r="H131" s="79"/>
      <c r="I131" s="79"/>
      <c r="J131" s="79"/>
    </row>
    <row r="132" customFormat="false" ht="15" hidden="false" customHeight="true" outlineLevel="0" collapsed="false">
      <c r="A132" s="60" t="s">
        <v>338</v>
      </c>
      <c r="C132" s="76" t="n">
        <f aca="false">Historical!C132</f>
        <v>28.1</v>
      </c>
      <c r="D132" s="76" t="n">
        <f aca="false">Historical!D132</f>
        <v>28</v>
      </c>
      <c r="E132" s="76" t="n">
        <f aca="false">Historical!E132</f>
        <v>45.8</v>
      </c>
      <c r="F132" s="76" t="n">
        <f aca="false">Historical!F132</f>
        <v>50.5</v>
      </c>
      <c r="G132" s="76" t="n">
        <f aca="false">Historical!G132</f>
        <v>45.2</v>
      </c>
      <c r="H132" s="79"/>
      <c r="I132" s="79"/>
      <c r="J132" s="79"/>
    </row>
    <row r="133" customFormat="false" ht="15" hidden="false" customHeight="true" outlineLevel="0" collapsed="false">
      <c r="A133" s="60" t="s">
        <v>339</v>
      </c>
      <c r="C133" s="76" t="n">
        <f aca="false">Historical!C133</f>
        <v>-5.4</v>
      </c>
      <c r="D133" s="76" t="n">
        <f aca="false">Historical!D133</f>
        <v>-12.7</v>
      </c>
      <c r="E133" s="76" t="n">
        <f aca="false">Historical!E133</f>
        <v>-8.2</v>
      </c>
      <c r="F133" s="76" t="n">
        <f aca="false">Historical!F133</f>
        <v>-6.4</v>
      </c>
      <c r="G133" s="76" t="n">
        <f aca="false">Historical!G133</f>
        <v>-0.4</v>
      </c>
      <c r="H133" s="79"/>
      <c r="I133" s="79"/>
      <c r="J133" s="79"/>
    </row>
    <row r="134" customFormat="false" ht="15" hidden="false" customHeight="true" outlineLevel="0" collapsed="false">
      <c r="A134" s="60" t="s">
        <v>340</v>
      </c>
      <c r="C134" s="76" t="n">
        <f aca="false">Historical!C134</f>
        <v>1.8</v>
      </c>
      <c r="D134" s="76" t="n">
        <f aca="false">Historical!D134</f>
        <v>-12.4</v>
      </c>
      <c r="E134" s="76" t="n">
        <f aca="false">Historical!E134</f>
        <v>-3.6</v>
      </c>
      <c r="F134" s="76" t="n">
        <f aca="false">Historical!F134</f>
        <v>-8.1</v>
      </c>
      <c r="G134" s="76" t="n">
        <f aca="false">Historical!G134</f>
        <v>-7.4</v>
      </c>
      <c r="H134" s="79"/>
      <c r="I134" s="79"/>
      <c r="J134" s="79"/>
    </row>
    <row r="135" customFormat="false" ht="15" hidden="false" customHeight="true" outlineLevel="0" collapsed="false">
      <c r="A135" s="60" t="s">
        <v>341</v>
      </c>
      <c r="C135" s="76" t="n">
        <f aca="false">Historical!C135</f>
        <v>58.9</v>
      </c>
      <c r="D135" s="76" t="n">
        <f aca="false">Historical!D135</f>
        <v>30.8</v>
      </c>
      <c r="E135" s="76" t="n">
        <f aca="false">Historical!E135</f>
        <v>18</v>
      </c>
      <c r="F135" s="76" t="n">
        <f aca="false">Historical!F135</f>
        <v>24.9</v>
      </c>
      <c r="G135" s="76" t="n">
        <f aca="false">Historical!G135</f>
        <v>31.6</v>
      </c>
      <c r="H135" s="79"/>
      <c r="I135" s="79"/>
      <c r="J135" s="79"/>
    </row>
    <row r="136" customFormat="false" ht="15" hidden="false" customHeight="true" outlineLevel="0" collapsed="false">
      <c r="A136" s="60" t="s">
        <v>342</v>
      </c>
      <c r="C136" s="76" t="n">
        <f aca="false">Historical!C136</f>
        <v>-0.4</v>
      </c>
      <c r="D136" s="76" t="n">
        <f aca="false">Historical!D136</f>
        <v>-0.7</v>
      </c>
      <c r="E136" s="76" t="n">
        <f aca="false">Historical!E136</f>
        <v>-0.5</v>
      </c>
      <c r="F136" s="76" t="n">
        <f aca="false">Historical!F136</f>
        <v>0.1</v>
      </c>
      <c r="G136" s="76" t="n">
        <f aca="false">Historical!G136</f>
        <v>6</v>
      </c>
      <c r="H136" s="79"/>
      <c r="I136" s="79"/>
      <c r="J136" s="79"/>
    </row>
    <row r="137" customFormat="false" ht="15" hidden="false" customHeight="true" outlineLevel="0" collapsed="false">
      <c r="A137" s="60" t="s">
        <v>343</v>
      </c>
      <c r="C137" s="76" t="n">
        <f aca="false">Historical!C137</f>
        <v>-2.5</v>
      </c>
      <c r="D137" s="76" t="n">
        <f aca="false">Historical!D137</f>
        <v>-8</v>
      </c>
      <c r="E137" s="76" t="n">
        <f aca="false">Historical!E137</f>
        <v>0</v>
      </c>
      <c r="F137" s="76" t="n">
        <f aca="false">Historical!F137</f>
        <v>-4.5</v>
      </c>
      <c r="G137" s="76" t="n">
        <f aca="false">Historical!G137</f>
        <v>0</v>
      </c>
      <c r="H137" s="79"/>
      <c r="I137" s="79"/>
      <c r="J137" s="79"/>
    </row>
    <row r="138" customFormat="false" ht="15" hidden="false" customHeight="true" outlineLevel="0" collapsed="false">
      <c r="A138" s="62" t="s">
        <v>344</v>
      </c>
      <c r="C138" s="76" t="n">
        <f aca="false">Historical!C138</f>
        <v>312.1</v>
      </c>
      <c r="D138" s="76" t="n">
        <f aca="false">Historical!D138</f>
        <v>272.3</v>
      </c>
      <c r="E138" s="76" t="n">
        <f aca="false">Historical!E138</f>
        <v>333</v>
      </c>
      <c r="F138" s="76" t="n">
        <f aca="false">Historical!F138</f>
        <v>352.6</v>
      </c>
      <c r="G138" s="76" t="n">
        <f aca="false">Historical!G138</f>
        <v>383.7</v>
      </c>
      <c r="H138" s="78" t="n">
        <f aca="false">SUM(H121:H137)</f>
        <v>0</v>
      </c>
      <c r="I138" s="78" t="n">
        <f aca="false">SUM(I121:I137)</f>
        <v>0</v>
      </c>
      <c r="J138" s="78" t="n">
        <f aca="false">SUM(J121:J137)</f>
        <v>0</v>
      </c>
    </row>
    <row r="139" customFormat="false" ht="15" hidden="false" customHeight="true" outlineLevel="0" collapsed="false">
      <c r="A139" s="60" t="s">
        <v>345</v>
      </c>
      <c r="C139" s="76" t="n">
        <f aca="false">Historical!C139</f>
        <v>107.4</v>
      </c>
      <c r="D139" s="76" t="n">
        <f aca="false">Historical!D139</f>
        <v>115.5</v>
      </c>
      <c r="E139" s="76" t="n">
        <f aca="false">Historical!E139</f>
        <v>125</v>
      </c>
      <c r="F139" s="76" t="n">
        <f aca="false">Historical!F139</f>
        <v>140</v>
      </c>
      <c r="G139" s="76" t="n">
        <f aca="false">Historical!G139</f>
        <v>160.6</v>
      </c>
      <c r="H139" s="65" t="n">
        <f aca="false">H122+H123+H124</f>
        <v>0</v>
      </c>
      <c r="I139" s="65" t="n">
        <f aca="false">I122+I123+I124</f>
        <v>0</v>
      </c>
      <c r="J139" s="65" t="n">
        <f aca="false">J122+J123+J124</f>
        <v>0</v>
      </c>
    </row>
    <row r="141" customFormat="false" ht="15" hidden="false" customHeight="true" outlineLevel="0" collapsed="false">
      <c r="A141" s="58" t="s">
        <v>402</v>
      </c>
      <c r="B141" s="59"/>
      <c r="C141" s="59"/>
      <c r="D141" s="59"/>
      <c r="E141" s="59"/>
      <c r="F141" s="59"/>
      <c r="G141" s="59"/>
      <c r="H141" s="59"/>
      <c r="I141" s="59"/>
      <c r="J141" s="59"/>
    </row>
    <row r="142" customFormat="false" ht="15" hidden="false" customHeight="true" outlineLevel="0" collapsed="false">
      <c r="A142" s="60" t="s">
        <v>403</v>
      </c>
      <c r="H142" s="65" t="n">
        <f aca="false">Drivers!$C$15*Drivers!$C$27</f>
        <v>14.4</v>
      </c>
      <c r="I142" s="65" t="n">
        <f aca="false">Drivers!$D$15*Drivers!$D$27</f>
        <v>13.2</v>
      </c>
      <c r="J142" s="65" t="n">
        <f aca="false">Drivers!$E$15*Drivers!$E$27</f>
        <v>12.8</v>
      </c>
    </row>
    <row r="143" customFormat="false" ht="15" hidden="false" customHeight="true" outlineLevel="0" collapsed="false">
      <c r="A143" s="60" t="s">
        <v>404</v>
      </c>
      <c r="H143" s="65" t="n">
        <f aca="false">Drivers!$C$15-H142</f>
        <v>165.6</v>
      </c>
      <c r="I143" s="65" t="n">
        <f aca="false">Drivers!$D$15-I142</f>
        <v>151.8</v>
      </c>
      <c r="J143" s="65" t="n">
        <f aca="false">Drivers!$E$15-J142</f>
        <v>147.2</v>
      </c>
    </row>
    <row r="144" customFormat="false" ht="15" hidden="false" customHeight="true" outlineLevel="0" collapsed="false">
      <c r="A144" s="60" t="s">
        <v>330</v>
      </c>
      <c r="H144" s="65" t="n">
        <f aca="false">G52*Drivers!$C$28</f>
        <v>7.74</v>
      </c>
      <c r="I144" s="65" t="n">
        <f aca="false">H52*Drivers!$D$28</f>
        <v>8.9388</v>
      </c>
      <c r="J144" s="65" t="n">
        <f aca="false">I52*Drivers!$E$28</f>
        <v>9.705816</v>
      </c>
    </row>
    <row r="145" customFormat="false" ht="15" hidden="false" customHeight="true" outlineLevel="0" collapsed="false">
      <c r="A145" s="60" t="s">
        <v>405</v>
      </c>
      <c r="H145" s="65" t="n">
        <f aca="false">G53*Drivers!$C$26</f>
        <v>112.3335</v>
      </c>
      <c r="I145" s="65" t="n">
        <f aca="false">H53*Drivers!$D$26</f>
        <v>119.5244775</v>
      </c>
      <c r="J145" s="65" t="n">
        <f aca="false">I53*Drivers!$E$26</f>
        <v>123.8816730375</v>
      </c>
    </row>
    <row r="146" customFormat="false" ht="15" hidden="false" customHeight="true" outlineLevel="0" collapsed="false">
      <c r="A146" s="60" t="s">
        <v>406</v>
      </c>
      <c r="B146" s="56" t="s">
        <v>407</v>
      </c>
      <c r="H146" s="65" t="n">
        <f aca="false">-(G66+G71)*H42/G42</f>
        <v>463.723383247543</v>
      </c>
      <c r="I146" s="65" t="n">
        <f aca="false">-(H66+H71)*I42/H42</f>
        <v>478.30978474497</v>
      </c>
      <c r="J146" s="65" t="n">
        <f aca="false">-(I66+I71)*J42/I42</f>
        <v>492.896186242396</v>
      </c>
    </row>
    <row r="147" customFormat="false" ht="15" hidden="false" customHeight="true" outlineLevel="0" collapsed="false">
      <c r="A147" s="60" t="s">
        <v>408</v>
      </c>
      <c r="H147" s="65" t="n">
        <f aca="false">G54*Drivers!$C$29</f>
        <v>70.21</v>
      </c>
      <c r="I147" s="65" t="n">
        <f aca="false">H54*Drivers!$D$29</f>
        <v>72.3833231165185</v>
      </c>
      <c r="J147" s="65" t="n">
        <f aca="false">I54*Drivers!$E$29</f>
        <v>74.660137810014</v>
      </c>
    </row>
    <row r="148" customFormat="false" ht="15" hidden="false" customHeight="true" outlineLevel="0" collapsed="false">
      <c r="A148" s="60" t="s">
        <v>409</v>
      </c>
      <c r="B148" s="56" t="s">
        <v>410</v>
      </c>
      <c r="H148" s="65" t="n">
        <f aca="false">H54-G54+H147</f>
        <v>82.9942536265794</v>
      </c>
      <c r="I148" s="65" t="n">
        <f aca="false">I54-H54+I147</f>
        <v>85.7763507253158</v>
      </c>
      <c r="J148" s="65" t="n">
        <f aca="false">J54-I54+J147</f>
        <v>88.0531654188115</v>
      </c>
    </row>
    <row r="149" customFormat="false" ht="15" hidden="false" customHeight="true" outlineLevel="0" collapsed="false">
      <c r="A149" s="60" t="s">
        <v>411</v>
      </c>
      <c r="B149" s="56" t="s">
        <v>412</v>
      </c>
      <c r="H149" s="65" t="n">
        <f aca="false">-(G66+G71)+H148-H146</f>
        <v>69.070870379036</v>
      </c>
      <c r="I149" s="65" t="n">
        <f aca="false">-(H66+H71)+I148-I146</f>
        <v>71.1899492278895</v>
      </c>
      <c r="J149" s="65" t="n">
        <f aca="false">-(I66+I71)+J148-J146</f>
        <v>73.4667639213851</v>
      </c>
    </row>
    <row r="150" customFormat="false" ht="15" hidden="false" customHeight="true" outlineLevel="0" collapsed="false">
      <c r="A150" s="60" t="s">
        <v>185</v>
      </c>
      <c r="H150" s="65" t="n">
        <f aca="false">-(G66+G71)*Drivers!$C$30</f>
        <v>21.5904</v>
      </c>
      <c r="I150" s="65" t="n">
        <f aca="false">-(H66+H71)*Drivers!$D$30</f>
        <v>22.2587223958821</v>
      </c>
      <c r="J150" s="65" t="n">
        <f aca="false">-(I66+I71)*Drivers!$E$30</f>
        <v>22.9588696677585</v>
      </c>
    </row>
    <row r="151" customFormat="false" ht="15" hidden="false" customHeight="true" outlineLevel="0" collapsed="false">
      <c r="A151" s="60" t="s">
        <v>413</v>
      </c>
      <c r="H151" s="65" t="n">
        <f aca="false">-G69*Drivers!$C$32</f>
        <v>1.25</v>
      </c>
      <c r="I151" s="65" t="n">
        <f aca="false">-H69*Drivers!$D$32</f>
        <v>1.25</v>
      </c>
      <c r="J151" s="65" t="n">
        <f aca="false">-I69*Drivers!$E$32</f>
        <v>1.25</v>
      </c>
    </row>
    <row r="152" customFormat="false" ht="15" hidden="false" customHeight="true" outlineLevel="0" collapsed="false">
      <c r="A152" s="60" t="s">
        <v>414</v>
      </c>
      <c r="H152" s="65" t="n">
        <f aca="false">MAX(G61,0)*Drivers!$C$31</f>
        <v>2.124</v>
      </c>
      <c r="I152" s="65" t="n">
        <f aca="false">MAX(H61,0)*Drivers!$D$31</f>
        <v>2.55125415219021</v>
      </c>
      <c r="J152" s="65" t="n">
        <f aca="false">MAX(I61,0)*Drivers!$E$31</f>
        <v>3.12996206910663</v>
      </c>
    </row>
    <row r="153" customFormat="false" ht="15" hidden="false" customHeight="true" outlineLevel="0" collapsed="false">
      <c r="A153" s="60" t="s">
        <v>415</v>
      </c>
      <c r="H153" s="65" t="n">
        <f aca="false">H7*Drivers!$C$22</f>
        <v>107.328443388957</v>
      </c>
      <c r="I153" s="65" t="n">
        <f aca="false">I7*Drivers!$D$22</f>
        <v>113.791699890331</v>
      </c>
      <c r="J153" s="65" t="n">
        <f aca="false">J7*Drivers!$E$22</f>
        <v>120.640948882636</v>
      </c>
    </row>
    <row r="154" customFormat="false" ht="15" hidden="false" customHeight="true" outlineLevel="0" collapsed="false">
      <c r="A154" s="60" t="s">
        <v>416</v>
      </c>
      <c r="H154" s="65" t="n">
        <f aca="false">Drivers!$C$12*Drivers!$C$13</f>
        <v>45</v>
      </c>
      <c r="I154" s="65" t="n">
        <f aca="false">Drivers!$C$12*Drivers!$D$13</f>
        <v>10</v>
      </c>
      <c r="J154" s="65" t="n">
        <f aca="false">Drivers!$C$12*Drivers!$E$13</f>
        <v>5</v>
      </c>
    </row>
    <row r="155" customFormat="false" ht="15" hidden="false" customHeight="true" outlineLevel="0" collapsed="false">
      <c r="A155" s="60" t="s">
        <v>417</v>
      </c>
      <c r="H155" s="65" t="n">
        <f aca="false">Drivers!$C$12*Drivers!$C$14</f>
        <v>10</v>
      </c>
      <c r="I155" s="65" t="n">
        <f aca="false">Drivers!$C$12*Drivers!$D$14</f>
        <v>35</v>
      </c>
      <c r="J155" s="65" t="n">
        <f aca="false">Drivers!$C$12*Drivers!$E$14</f>
        <v>15</v>
      </c>
    </row>
    <row r="156" customFormat="false" ht="15" hidden="false" customHeight="true" outlineLevel="0" collapsed="false">
      <c r="A156" s="60" t="s">
        <v>418</v>
      </c>
      <c r="B156" s="56" t="s">
        <v>419</v>
      </c>
      <c r="H156" s="65" t="n">
        <f aca="false">Drivers!$C$33*(Drivers!$C$15-H145-H144)</f>
        <v>6.591915</v>
      </c>
      <c r="I156" s="65" t="n">
        <f aca="false">Drivers!$D$33*(Drivers!$D$15-I145-I144)</f>
        <v>4.019039475</v>
      </c>
      <c r="J156" s="65" t="n">
        <f aca="false">Drivers!$E$33*(Drivers!$E$15-J145-J144)</f>
        <v>2.905376205875</v>
      </c>
    </row>
    <row r="157" customFormat="false" ht="15" hidden="false" customHeight="true" outlineLevel="0" collapsed="false">
      <c r="A157" s="60" t="s">
        <v>420</v>
      </c>
      <c r="B157" s="56" t="s">
        <v>421</v>
      </c>
      <c r="G157" s="81" t="n">
        <v>0.69</v>
      </c>
      <c r="H157" s="70" t="n">
        <f aca="false">Drivers!$C$17</f>
        <v>0.7038</v>
      </c>
      <c r="I157" s="70" t="n">
        <f aca="false">Drivers!$D$17</f>
        <v>0.717876</v>
      </c>
      <c r="J157" s="70" t="n">
        <f aca="false">Drivers!$E$17</f>
        <v>0.73223352</v>
      </c>
    </row>
    <row r="158" customFormat="false" ht="15" hidden="false" customHeight="true" outlineLevel="0" collapsed="false">
      <c r="A158" s="60" t="s">
        <v>422</v>
      </c>
      <c r="B158" s="56" t="s">
        <v>423</v>
      </c>
      <c r="H158" s="65" t="n">
        <f aca="false">G157*Drivers!$C$34</f>
        <v>70.311</v>
      </c>
      <c r="I158" s="65" t="n">
        <f aca="false">H157*Drivers!$D$34</f>
        <v>71.71722</v>
      </c>
      <c r="J158" s="65" t="n">
        <f aca="false">I157*Drivers!$E$34</f>
        <v>73.1515644</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8" activeCellId="0" sqref="C8"/>
    </sheetView>
  </sheetViews>
  <sheetFormatPr defaultColWidth="8.66796875" defaultRowHeight="15" zeroHeight="false" outlineLevelRow="0" outlineLevelCol="0"/>
  <cols>
    <col collapsed="false" customWidth="true" hidden="false" outlineLevel="0" max="1" min="1" style="1" width="58"/>
    <col collapsed="false" customWidth="true" hidden="false" outlineLevel="0" max="11" min="2" style="1" width="10"/>
    <col collapsed="false" customWidth="true" hidden="false" outlineLevel="0" max="12" min="12" style="1" width="70"/>
  </cols>
  <sheetData>
    <row r="1" customFormat="false" ht="21.75" hidden="false" customHeight="true" outlineLevel="0" collapsed="false">
      <c r="A1" s="2" t="s">
        <v>424</v>
      </c>
    </row>
    <row r="2" customFormat="false" ht="28.5" hidden="false" customHeight="true" outlineLevel="0" collapsed="false">
      <c r="A2" s="3" t="s">
        <v>425</v>
      </c>
      <c r="B2" s="3"/>
      <c r="C2" s="3"/>
      <c r="D2" s="3"/>
      <c r="E2" s="3"/>
      <c r="F2" s="3"/>
      <c r="G2" s="3"/>
      <c r="H2" s="3"/>
      <c r="I2" s="3"/>
      <c r="J2" s="3"/>
      <c r="K2" s="3"/>
      <c r="L2" s="3"/>
    </row>
    <row r="3" customFormat="false" ht="15" hidden="false" customHeight="true" outlineLevel="0" collapsed="false">
      <c r="A3" s="26" t="s">
        <v>426</v>
      </c>
    </row>
    <row r="4" customFormat="false" ht="15" hidden="false" customHeight="true" outlineLevel="0" collapsed="false">
      <c r="A4" s="71" t="s">
        <v>8</v>
      </c>
      <c r="B4" s="71" t="s">
        <v>427</v>
      </c>
      <c r="C4" s="71" t="s">
        <v>9</v>
      </c>
      <c r="D4" s="71" t="s">
        <v>10</v>
      </c>
      <c r="E4" s="71" t="s">
        <v>11</v>
      </c>
      <c r="F4" s="71" t="s">
        <v>428</v>
      </c>
      <c r="G4" s="71" t="s">
        <v>429</v>
      </c>
      <c r="H4" s="71" t="s">
        <v>430</v>
      </c>
      <c r="I4" s="71" t="s">
        <v>431</v>
      </c>
      <c r="J4" s="71" t="s">
        <v>432</v>
      </c>
      <c r="K4" s="71" t="s">
        <v>433</v>
      </c>
      <c r="L4" s="71" t="s">
        <v>434</v>
      </c>
    </row>
    <row r="5" customFormat="false" ht="15" hidden="false" customHeight="true" outlineLevel="0" collapsed="false">
      <c r="A5" s="82" t="s">
        <v>435</v>
      </c>
      <c r="B5" s="83"/>
      <c r="C5" s="83"/>
      <c r="D5" s="83"/>
      <c r="E5" s="83"/>
      <c r="F5" s="83"/>
      <c r="G5" s="83"/>
      <c r="H5" s="83"/>
      <c r="I5" s="83"/>
      <c r="J5" s="83"/>
      <c r="K5" s="83"/>
      <c r="L5" s="83"/>
    </row>
    <row r="6" customFormat="false" ht="16.5" hidden="false" customHeight="true" outlineLevel="0" collapsed="false">
      <c r="A6" s="84" t="s">
        <v>13</v>
      </c>
      <c r="B6" s="85" t="s">
        <v>436</v>
      </c>
      <c r="C6" s="86" t="n">
        <f aca="false">Scenarios!F7</f>
        <v>105</v>
      </c>
      <c r="D6" s="86" t="n">
        <f aca="false">Scenarios!F8</f>
        <v>110</v>
      </c>
      <c r="E6" s="86" t="n">
        <f aca="false">Scenarios!F9</f>
        <v>110</v>
      </c>
      <c r="F6" s="87" t="n">
        <v>85</v>
      </c>
      <c r="G6" s="87" t="n">
        <v>112</v>
      </c>
      <c r="H6" s="87" t="n">
        <v>80</v>
      </c>
      <c r="I6" s="87" t="n">
        <v>140</v>
      </c>
      <c r="J6" s="87" t="n">
        <v>80</v>
      </c>
      <c r="K6" s="87" t="n">
        <v>140</v>
      </c>
      <c r="L6" s="88" t="s">
        <v>437</v>
      </c>
    </row>
    <row r="7" customFormat="false" ht="16.5" hidden="false" customHeight="true" outlineLevel="0" collapsed="false">
      <c r="A7" s="84" t="s">
        <v>438</v>
      </c>
      <c r="B7" s="85" t="s">
        <v>439</v>
      </c>
      <c r="C7" s="89" t="n">
        <v>0.63</v>
      </c>
      <c r="D7" s="89" t="n">
        <v>0.63</v>
      </c>
      <c r="E7" s="89" t="n">
        <v>0.63</v>
      </c>
      <c r="F7" s="89" t="n">
        <v>0.58</v>
      </c>
      <c r="G7" s="89" t="n">
        <v>0.68</v>
      </c>
      <c r="H7" s="89" t="n">
        <v>0.58</v>
      </c>
      <c r="I7" s="89" t="n">
        <v>0.68</v>
      </c>
      <c r="J7" s="89" t="n">
        <v>0.58</v>
      </c>
      <c r="K7" s="89" t="n">
        <v>0.68</v>
      </c>
      <c r="L7" s="88" t="s">
        <v>440</v>
      </c>
    </row>
    <row r="8" customFormat="false" ht="16.5" hidden="false" customHeight="true" outlineLevel="0" collapsed="false">
      <c r="A8" s="84" t="s">
        <v>441</v>
      </c>
      <c r="B8" s="85" t="s">
        <v>439</v>
      </c>
      <c r="C8" s="90" t="n">
        <f aca="false">Scenarios!F10</f>
        <v>0.026</v>
      </c>
      <c r="D8" s="90" t="n">
        <f aca="false">Scenarios!F11</f>
        <v>0.03</v>
      </c>
      <c r="E8" s="90" t="n">
        <f aca="false">Scenarios!F12</f>
        <v>0.03</v>
      </c>
      <c r="F8" s="89" t="n">
        <v>0.015</v>
      </c>
      <c r="G8" s="89" t="n">
        <v>0.035</v>
      </c>
      <c r="H8" s="89" t="n">
        <v>0.005</v>
      </c>
      <c r="I8" s="89" t="n">
        <v>0.05</v>
      </c>
      <c r="J8" s="89" t="n">
        <v>0.005</v>
      </c>
      <c r="K8" s="89" t="n">
        <v>0.05</v>
      </c>
      <c r="L8" s="88" t="s">
        <v>442</v>
      </c>
    </row>
    <row r="9" customFormat="false" ht="16.5" hidden="false" customHeight="true" outlineLevel="0" collapsed="false">
      <c r="A9" s="84" t="s">
        <v>443</v>
      </c>
      <c r="B9" s="85" t="s">
        <v>439</v>
      </c>
      <c r="C9" s="90" t="n">
        <f aca="false">Scenarios!F13</f>
        <v>0.85</v>
      </c>
      <c r="D9" s="90" t="n">
        <f aca="false">Scenarios!F14</f>
        <v>0.85</v>
      </c>
      <c r="E9" s="90" t="n">
        <f aca="false">Scenarios!F15</f>
        <v>0.85</v>
      </c>
      <c r="F9" s="89" t="n">
        <v>0.7</v>
      </c>
      <c r="G9" s="89" t="n">
        <v>0.95</v>
      </c>
      <c r="H9" s="89" t="n">
        <v>0.7</v>
      </c>
      <c r="I9" s="89" t="n">
        <v>0.95</v>
      </c>
      <c r="J9" s="89" t="n">
        <v>0.7</v>
      </c>
      <c r="K9" s="89" t="n">
        <v>0.95</v>
      </c>
      <c r="L9" s="88" t="s">
        <v>444</v>
      </c>
    </row>
    <row r="10" customFormat="false" ht="16.5" hidden="false" customHeight="true" outlineLevel="0" collapsed="false">
      <c r="A10" s="84" t="s">
        <v>169</v>
      </c>
      <c r="B10" s="85" t="s">
        <v>439</v>
      </c>
      <c r="C10" s="90" t="n">
        <f aca="false">Scenarios!F16</f>
        <v>0.1</v>
      </c>
      <c r="D10" s="90" t="n">
        <f aca="false">Scenarios!F17</f>
        <v>0.08</v>
      </c>
      <c r="E10" s="90" t="n">
        <f aca="false">Scenarios!F18</f>
        <v>0.08</v>
      </c>
      <c r="F10" s="89" t="n">
        <v>0.06</v>
      </c>
      <c r="G10" s="89" t="n">
        <v>0.14</v>
      </c>
      <c r="H10" s="89" t="n">
        <v>0.04</v>
      </c>
      <c r="I10" s="89" t="n">
        <v>0.12</v>
      </c>
      <c r="J10" s="89" t="n">
        <v>0.04</v>
      </c>
      <c r="K10" s="89" t="n">
        <v>0.12</v>
      </c>
      <c r="L10" s="88" t="s">
        <v>445</v>
      </c>
    </row>
    <row r="11" customFormat="false" ht="28.5" hidden="false" customHeight="true" outlineLevel="0" collapsed="false">
      <c r="A11" s="84" t="s">
        <v>23</v>
      </c>
      <c r="B11" s="85" t="s">
        <v>439</v>
      </c>
      <c r="C11" s="90" t="n">
        <f aca="false">Scenarios!F19</f>
        <v>0.088</v>
      </c>
      <c r="D11" s="90" t="n">
        <f aca="false">Scenarios!F20</f>
        <v>0.09</v>
      </c>
      <c r="E11" s="90" t="n">
        <f aca="false">Scenarios!F21</f>
        <v>0.093</v>
      </c>
      <c r="F11" s="89" t="n">
        <v>0.082</v>
      </c>
      <c r="G11" s="89" t="n">
        <v>0.094</v>
      </c>
      <c r="H11" s="89" t="n">
        <v>0.08</v>
      </c>
      <c r="I11" s="89" t="n">
        <v>0.1</v>
      </c>
      <c r="J11" s="89" t="n">
        <v>0.083</v>
      </c>
      <c r="K11" s="89" t="n">
        <v>0.103</v>
      </c>
      <c r="L11" s="88" t="s">
        <v>446</v>
      </c>
    </row>
    <row r="12" customFormat="false" ht="16.5" hidden="false" customHeight="true" outlineLevel="0" collapsed="false">
      <c r="A12" s="84" t="s">
        <v>447</v>
      </c>
      <c r="B12" s="85" t="s">
        <v>30</v>
      </c>
      <c r="C12" s="91" t="n">
        <v>60</v>
      </c>
      <c r="D12" s="91"/>
      <c r="E12" s="91"/>
      <c r="F12" s="91" t="n">
        <v>45</v>
      </c>
      <c r="G12" s="91" t="n">
        <v>75</v>
      </c>
      <c r="H12" s="92"/>
      <c r="I12" s="92"/>
      <c r="J12" s="92"/>
      <c r="K12" s="92"/>
      <c r="L12" s="88" t="s">
        <v>448</v>
      </c>
    </row>
    <row r="13" customFormat="false" ht="16.5" hidden="false" customHeight="true" outlineLevel="0" collapsed="false">
      <c r="A13" s="84" t="s">
        <v>449</v>
      </c>
      <c r="B13" s="85" t="s">
        <v>450</v>
      </c>
      <c r="C13" s="89" t="n">
        <v>0.75</v>
      </c>
      <c r="D13" s="89" t="n">
        <v>0.166666666666667</v>
      </c>
      <c r="E13" s="89" t="n">
        <v>0.0833333333333333</v>
      </c>
      <c r="F13" s="92"/>
      <c r="G13" s="92"/>
      <c r="H13" s="92"/>
      <c r="I13" s="92"/>
      <c r="J13" s="92"/>
      <c r="K13" s="92"/>
      <c r="L13" s="88" t="s">
        <v>451</v>
      </c>
    </row>
    <row r="14" customFormat="false" ht="16.5" hidden="false" customHeight="true" outlineLevel="0" collapsed="false">
      <c r="A14" s="84" t="s">
        <v>452</v>
      </c>
      <c r="B14" s="85" t="s">
        <v>450</v>
      </c>
      <c r="C14" s="89" t="n">
        <v>0.166666666666667</v>
      </c>
      <c r="D14" s="89" t="n">
        <v>0.583333333333333</v>
      </c>
      <c r="E14" s="89" t="n">
        <v>0.25</v>
      </c>
      <c r="F14" s="92"/>
      <c r="G14" s="92"/>
      <c r="H14" s="92"/>
      <c r="I14" s="92"/>
      <c r="J14" s="92"/>
      <c r="K14" s="92"/>
      <c r="L14" s="88" t="s">
        <v>453</v>
      </c>
    </row>
    <row r="15" customFormat="false" ht="16.5" hidden="false" customHeight="true" outlineLevel="0" collapsed="false">
      <c r="A15" s="84" t="s">
        <v>177</v>
      </c>
      <c r="B15" s="85" t="s">
        <v>30</v>
      </c>
      <c r="C15" s="91" t="n">
        <v>180</v>
      </c>
      <c r="D15" s="91" t="n">
        <v>165</v>
      </c>
      <c r="E15" s="91" t="n">
        <v>160</v>
      </c>
      <c r="F15" s="91" t="n">
        <v>170</v>
      </c>
      <c r="G15" s="91" t="n">
        <v>195</v>
      </c>
      <c r="H15" s="91" t="n">
        <v>140</v>
      </c>
      <c r="I15" s="91" t="n">
        <v>200</v>
      </c>
      <c r="J15" s="91" t="n">
        <v>140</v>
      </c>
      <c r="K15" s="91" t="n">
        <v>200</v>
      </c>
      <c r="L15" s="88" t="s">
        <v>454</v>
      </c>
    </row>
    <row r="16" customFormat="false" ht="16.5" hidden="false" customHeight="true" outlineLevel="0" collapsed="false">
      <c r="A16" s="84" t="s">
        <v>455</v>
      </c>
      <c r="B16" s="85" t="s">
        <v>439</v>
      </c>
      <c r="C16" s="89" t="n">
        <v>0.02</v>
      </c>
      <c r="D16" s="89" t="n">
        <v>0.02</v>
      </c>
      <c r="E16" s="89" t="n">
        <v>0.02</v>
      </c>
      <c r="F16" s="92"/>
      <c r="G16" s="92"/>
      <c r="H16" s="92"/>
      <c r="I16" s="92"/>
      <c r="J16" s="92"/>
      <c r="K16" s="92"/>
      <c r="L16" s="88" t="s">
        <v>456</v>
      </c>
    </row>
    <row r="17" customFormat="false" ht="16.5" hidden="false" customHeight="true" outlineLevel="0" collapsed="false">
      <c r="A17" s="84" t="s">
        <v>457</v>
      </c>
      <c r="B17" s="85" t="s">
        <v>458</v>
      </c>
      <c r="C17" s="93" t="n">
        <f aca="false">0.69*(1+C16)</f>
        <v>0.7038</v>
      </c>
      <c r="D17" s="93" t="n">
        <f aca="false">C17*(1+D16)</f>
        <v>0.717876</v>
      </c>
      <c r="E17" s="93" t="n">
        <f aca="false">D17*(1+E16)</f>
        <v>0.73223352</v>
      </c>
      <c r="F17" s="92"/>
      <c r="G17" s="92"/>
      <c r="H17" s="92"/>
      <c r="I17" s="92"/>
      <c r="J17" s="92"/>
      <c r="K17" s="92"/>
      <c r="L17" s="88" t="s">
        <v>459</v>
      </c>
    </row>
    <row r="18" customFormat="false" ht="16.5" hidden="false" customHeight="true" outlineLevel="0" collapsed="false">
      <c r="A18" s="84" t="s">
        <v>460</v>
      </c>
      <c r="B18" s="85" t="s">
        <v>439</v>
      </c>
      <c r="C18" s="89" t="n">
        <v>0.26</v>
      </c>
      <c r="D18" s="89" t="n">
        <v>0.26</v>
      </c>
      <c r="E18" s="89" t="n">
        <v>0.26</v>
      </c>
      <c r="F18" s="89" t="n">
        <v>0.255</v>
      </c>
      <c r="G18" s="89" t="n">
        <v>0.27</v>
      </c>
      <c r="H18" s="89" t="n">
        <v>0.255</v>
      </c>
      <c r="I18" s="89" t="n">
        <v>0.27</v>
      </c>
      <c r="J18" s="89" t="n">
        <v>0.255</v>
      </c>
      <c r="K18" s="89" t="n">
        <v>0.27</v>
      </c>
      <c r="L18" s="88" t="s">
        <v>461</v>
      </c>
    </row>
    <row r="19" customFormat="false" ht="15" hidden="false" customHeight="true" outlineLevel="0" collapsed="false">
      <c r="A19" s="92"/>
      <c r="B19" s="92"/>
      <c r="C19" s="92"/>
      <c r="D19" s="92"/>
      <c r="E19" s="92"/>
      <c r="F19" s="92"/>
      <c r="G19" s="92"/>
      <c r="H19" s="92"/>
      <c r="I19" s="92"/>
      <c r="J19" s="92"/>
      <c r="K19" s="92"/>
      <c r="L19" s="92"/>
    </row>
    <row r="20" customFormat="false" ht="15" hidden="false" customHeight="true" outlineLevel="0" collapsed="false">
      <c r="A20" s="82" t="s">
        <v>462</v>
      </c>
      <c r="B20" s="83"/>
      <c r="C20" s="83"/>
      <c r="D20" s="83"/>
      <c r="E20" s="83"/>
      <c r="F20" s="83"/>
      <c r="G20" s="83"/>
      <c r="H20" s="83"/>
      <c r="I20" s="83"/>
      <c r="J20" s="83"/>
      <c r="K20" s="83"/>
      <c r="L20" s="83"/>
    </row>
    <row r="21" customFormat="false" ht="16.5" hidden="false" customHeight="true" outlineLevel="0" collapsed="false">
      <c r="A21" s="84" t="s">
        <v>463</v>
      </c>
      <c r="B21" s="85" t="s">
        <v>439</v>
      </c>
      <c r="C21" s="89" t="n">
        <v>0.615</v>
      </c>
      <c r="D21" s="89" t="n">
        <v>0.615</v>
      </c>
      <c r="E21" s="89" t="n">
        <v>0.615</v>
      </c>
      <c r="F21" s="92"/>
      <c r="G21" s="92"/>
      <c r="H21" s="92"/>
      <c r="I21" s="92"/>
      <c r="J21" s="92"/>
      <c r="K21" s="92"/>
      <c r="L21" s="88" t="s">
        <v>464</v>
      </c>
    </row>
    <row r="22" customFormat="false" ht="16.5" hidden="false" customHeight="true" outlineLevel="0" collapsed="false">
      <c r="A22" s="84" t="s">
        <v>465</v>
      </c>
      <c r="B22" s="85" t="s">
        <v>439</v>
      </c>
      <c r="C22" s="89" t="n">
        <v>0.047</v>
      </c>
      <c r="D22" s="89" t="n">
        <v>0.047</v>
      </c>
      <c r="E22" s="89" t="n">
        <v>0.047</v>
      </c>
      <c r="F22" s="92"/>
      <c r="G22" s="92"/>
      <c r="H22" s="92"/>
      <c r="I22" s="92"/>
      <c r="J22" s="92"/>
      <c r="K22" s="92"/>
      <c r="L22" s="88" t="s">
        <v>466</v>
      </c>
    </row>
    <row r="23" customFormat="false" ht="16.5" hidden="false" customHeight="true" outlineLevel="0" collapsed="false">
      <c r="A23" s="84" t="s">
        <v>467</v>
      </c>
      <c r="B23" s="85" t="s">
        <v>468</v>
      </c>
      <c r="C23" s="91" t="n">
        <v>25</v>
      </c>
      <c r="D23" s="91" t="n">
        <v>25</v>
      </c>
      <c r="E23" s="91" t="n">
        <v>25</v>
      </c>
      <c r="F23" s="92"/>
      <c r="G23" s="92"/>
      <c r="H23" s="92"/>
      <c r="I23" s="92"/>
      <c r="J23" s="92"/>
      <c r="K23" s="92"/>
      <c r="L23" s="88" t="s">
        <v>469</v>
      </c>
    </row>
    <row r="24" customFormat="false" ht="16.5" hidden="false" customHeight="true" outlineLevel="0" collapsed="false">
      <c r="A24" s="84" t="s">
        <v>470</v>
      </c>
      <c r="B24" s="85" t="s">
        <v>468</v>
      </c>
      <c r="C24" s="91" t="n">
        <v>11.5</v>
      </c>
      <c r="D24" s="91" t="n">
        <v>11.5</v>
      </c>
      <c r="E24" s="91" t="n">
        <v>11.5</v>
      </c>
      <c r="F24" s="92"/>
      <c r="G24" s="92"/>
      <c r="H24" s="92"/>
      <c r="I24" s="92"/>
      <c r="J24" s="92"/>
      <c r="K24" s="92"/>
      <c r="L24" s="88" t="s">
        <v>469</v>
      </c>
    </row>
    <row r="25" customFormat="false" ht="16.5" hidden="false" customHeight="true" outlineLevel="0" collapsed="false">
      <c r="A25" s="84" t="s">
        <v>471</v>
      </c>
      <c r="B25" s="85" t="s">
        <v>468</v>
      </c>
      <c r="C25" s="91" t="n">
        <v>45</v>
      </c>
      <c r="D25" s="91" t="n">
        <v>45</v>
      </c>
      <c r="E25" s="91" t="n">
        <v>45</v>
      </c>
      <c r="F25" s="92"/>
      <c r="G25" s="92"/>
      <c r="H25" s="92"/>
      <c r="I25" s="92"/>
      <c r="J25" s="92"/>
      <c r="K25" s="92"/>
      <c r="L25" s="88" t="s">
        <v>469</v>
      </c>
    </row>
    <row r="26" customFormat="false" ht="16.5" hidden="false" customHeight="true" outlineLevel="0" collapsed="false">
      <c r="A26" s="84" t="s">
        <v>472</v>
      </c>
      <c r="B26" s="85" t="s">
        <v>439</v>
      </c>
      <c r="C26" s="89" t="n">
        <v>0.135</v>
      </c>
      <c r="D26" s="89" t="n">
        <v>0.135</v>
      </c>
      <c r="E26" s="89" t="n">
        <v>0.135</v>
      </c>
      <c r="F26" s="92"/>
      <c r="G26" s="92"/>
      <c r="H26" s="92"/>
      <c r="I26" s="92"/>
      <c r="J26" s="92"/>
      <c r="K26" s="92"/>
      <c r="L26" s="88" t="s">
        <v>473</v>
      </c>
    </row>
    <row r="27" customFormat="false" ht="16.5" hidden="false" customHeight="true" outlineLevel="0" collapsed="false">
      <c r="A27" s="84" t="s">
        <v>474</v>
      </c>
      <c r="B27" s="85" t="s">
        <v>439</v>
      </c>
      <c r="C27" s="89" t="n">
        <v>0.08</v>
      </c>
      <c r="D27" s="89" t="n">
        <v>0.08</v>
      </c>
      <c r="E27" s="89" t="n">
        <v>0.08</v>
      </c>
      <c r="F27" s="92"/>
      <c r="G27" s="92"/>
      <c r="H27" s="92"/>
      <c r="I27" s="92"/>
      <c r="J27" s="92"/>
      <c r="K27" s="92"/>
      <c r="L27" s="88" t="s">
        <v>475</v>
      </c>
    </row>
    <row r="28" customFormat="false" ht="16.5" hidden="false" customHeight="true" outlineLevel="0" collapsed="false">
      <c r="A28" s="84" t="s">
        <v>476</v>
      </c>
      <c r="B28" s="85" t="s">
        <v>439</v>
      </c>
      <c r="C28" s="89" t="n">
        <v>0.18</v>
      </c>
      <c r="D28" s="89" t="n">
        <v>0.18</v>
      </c>
      <c r="E28" s="89" t="n">
        <v>0.18</v>
      </c>
      <c r="F28" s="92"/>
      <c r="G28" s="92"/>
      <c r="H28" s="92"/>
      <c r="I28" s="92"/>
      <c r="J28" s="92"/>
      <c r="K28" s="92"/>
      <c r="L28" s="88" t="s">
        <v>477</v>
      </c>
    </row>
    <row r="29" customFormat="false" ht="16.5" hidden="false" customHeight="true" outlineLevel="0" collapsed="false">
      <c r="A29" s="84" t="s">
        <v>478</v>
      </c>
      <c r="B29" s="85" t="s">
        <v>439</v>
      </c>
      <c r="C29" s="89" t="n">
        <v>0.17</v>
      </c>
      <c r="D29" s="89" t="n">
        <v>0.17</v>
      </c>
      <c r="E29" s="89" t="n">
        <v>0.17</v>
      </c>
      <c r="F29" s="92"/>
      <c r="G29" s="92"/>
      <c r="H29" s="92"/>
      <c r="I29" s="92"/>
      <c r="J29" s="92"/>
      <c r="K29" s="92"/>
      <c r="L29" s="88" t="s">
        <v>479</v>
      </c>
    </row>
    <row r="30" customFormat="false" ht="28.5" hidden="false" customHeight="true" outlineLevel="0" collapsed="false">
      <c r="A30" s="84" t="s">
        <v>480</v>
      </c>
      <c r="B30" s="85" t="s">
        <v>439</v>
      </c>
      <c r="C30" s="94" t="n">
        <v>0.048</v>
      </c>
      <c r="D30" s="94" t="n">
        <v>0.048</v>
      </c>
      <c r="E30" s="94" t="n">
        <v>0.048</v>
      </c>
      <c r="F30" s="92"/>
      <c r="G30" s="92"/>
      <c r="H30" s="92"/>
      <c r="I30" s="92"/>
      <c r="J30" s="92"/>
      <c r="K30" s="92"/>
      <c r="L30" s="95" t="s">
        <v>481</v>
      </c>
    </row>
    <row r="31" customFormat="false" ht="16.5" hidden="false" customHeight="true" outlineLevel="0" collapsed="false">
      <c r="A31" s="84" t="s">
        <v>482</v>
      </c>
      <c r="B31" s="85" t="s">
        <v>439</v>
      </c>
      <c r="C31" s="89" t="n">
        <v>0.03</v>
      </c>
      <c r="D31" s="89" t="n">
        <v>0.03</v>
      </c>
      <c r="E31" s="89" t="n">
        <v>0.03</v>
      </c>
      <c r="F31" s="92"/>
      <c r="G31" s="92"/>
      <c r="H31" s="92"/>
      <c r="I31" s="92"/>
      <c r="J31" s="92"/>
      <c r="K31" s="92"/>
      <c r="L31" s="88" t="s">
        <v>483</v>
      </c>
    </row>
    <row r="32" customFormat="false" ht="16.5" hidden="false" customHeight="true" outlineLevel="0" collapsed="false">
      <c r="A32" s="84" t="s">
        <v>484</v>
      </c>
      <c r="B32" s="85" t="s">
        <v>439</v>
      </c>
      <c r="C32" s="89" t="n">
        <v>0.05</v>
      </c>
      <c r="D32" s="89" t="n">
        <v>0.05</v>
      </c>
      <c r="E32" s="89" t="n">
        <v>0.05</v>
      </c>
      <c r="F32" s="92"/>
      <c r="G32" s="92"/>
      <c r="H32" s="92"/>
      <c r="I32" s="92"/>
      <c r="J32" s="92"/>
      <c r="K32" s="92"/>
      <c r="L32" s="88" t="s">
        <v>485</v>
      </c>
    </row>
    <row r="33" customFormat="false" ht="16.5" hidden="false" customHeight="true" outlineLevel="0" collapsed="false">
      <c r="A33" s="84" t="s">
        <v>486</v>
      </c>
      <c r="B33" s="85" t="s">
        <v>439</v>
      </c>
      <c r="C33" s="89" t="n">
        <v>0.11</v>
      </c>
      <c r="D33" s="89" t="n">
        <v>0.11</v>
      </c>
      <c r="E33" s="89" t="n">
        <v>0.11</v>
      </c>
      <c r="F33" s="92"/>
      <c r="G33" s="92"/>
      <c r="H33" s="92"/>
      <c r="I33" s="92"/>
      <c r="J33" s="92"/>
      <c r="K33" s="92"/>
      <c r="L33" s="88" t="s">
        <v>487</v>
      </c>
    </row>
    <row r="34" customFormat="false" ht="16.5" hidden="false" customHeight="true" outlineLevel="0" collapsed="false">
      <c r="A34" s="84" t="s">
        <v>488</v>
      </c>
      <c r="B34" s="85" t="s">
        <v>489</v>
      </c>
      <c r="C34" s="91" t="n">
        <v>101.9</v>
      </c>
      <c r="D34" s="91" t="n">
        <v>101.9</v>
      </c>
      <c r="E34" s="91" t="n">
        <v>101.9</v>
      </c>
      <c r="F34" s="92"/>
      <c r="G34" s="92"/>
      <c r="H34" s="92"/>
      <c r="I34" s="92"/>
      <c r="J34" s="92"/>
      <c r="K34" s="92"/>
      <c r="L34" s="88" t="s">
        <v>490</v>
      </c>
    </row>
    <row r="35" customFormat="false" ht="16.5" hidden="false" customHeight="true" outlineLevel="0" collapsed="false">
      <c r="A35" s="84" t="s">
        <v>491</v>
      </c>
      <c r="B35" s="85" t="s">
        <v>439</v>
      </c>
      <c r="C35" s="89" t="n">
        <v>0.139</v>
      </c>
      <c r="D35" s="89" t="n">
        <v>0.139</v>
      </c>
      <c r="E35" s="89" t="n">
        <v>0.139</v>
      </c>
      <c r="F35" s="92"/>
      <c r="G35" s="92"/>
      <c r="H35" s="92"/>
      <c r="I35" s="92"/>
      <c r="J35" s="92"/>
      <c r="K35" s="92"/>
      <c r="L35" s="88" t="s">
        <v>492</v>
      </c>
    </row>
    <row r="36" customFormat="false" ht="28.5" hidden="false" customHeight="true" outlineLevel="0" collapsed="false">
      <c r="A36" s="96" t="s">
        <v>493</v>
      </c>
      <c r="B36" s="96" t="s">
        <v>439</v>
      </c>
      <c r="C36" s="97" t="n">
        <v>0.5</v>
      </c>
      <c r="D36" s="97" t="n">
        <v>0.5</v>
      </c>
      <c r="E36" s="97" t="n">
        <v>0.5</v>
      </c>
      <c r="F36" s="92"/>
      <c r="G36" s="92"/>
      <c r="H36" s="92"/>
      <c r="I36" s="92"/>
      <c r="J36" s="92"/>
      <c r="K36" s="92"/>
      <c r="L36" s="88" t="s">
        <v>494</v>
      </c>
    </row>
    <row r="37" customFormat="false" ht="15" hidden="false" customHeight="true" outlineLevel="0" collapsed="false">
      <c r="A37" s="82" t="s">
        <v>495</v>
      </c>
      <c r="B37" s="83"/>
      <c r="C37" s="83"/>
      <c r="D37" s="83"/>
      <c r="E37" s="83"/>
      <c r="F37" s="83"/>
      <c r="G37" s="83"/>
      <c r="H37" s="83"/>
      <c r="I37" s="83"/>
      <c r="J37" s="83"/>
      <c r="K37" s="83"/>
      <c r="L37" s="83"/>
    </row>
    <row r="38" customFormat="false" ht="16.5" hidden="false" customHeight="true" outlineLevel="0" collapsed="false">
      <c r="A38" s="84" t="s">
        <v>496</v>
      </c>
      <c r="B38" s="85" t="s">
        <v>497</v>
      </c>
      <c r="C38" s="98" t="n">
        <v>0.5</v>
      </c>
      <c r="D38" s="98"/>
      <c r="E38" s="98"/>
      <c r="F38" s="92"/>
      <c r="G38" s="92"/>
      <c r="H38" s="92"/>
      <c r="I38" s="92"/>
      <c r="J38" s="92"/>
      <c r="K38" s="92"/>
      <c r="L38" s="88" t="s">
        <v>498</v>
      </c>
    </row>
    <row r="39" customFormat="false" ht="16.5" hidden="false" customHeight="true" outlineLevel="0" collapsed="false">
      <c r="A39" s="84" t="s">
        <v>499</v>
      </c>
      <c r="B39" s="85" t="s">
        <v>497</v>
      </c>
      <c r="C39" s="98" t="n">
        <v>0.3</v>
      </c>
      <c r="D39" s="98"/>
      <c r="E39" s="98"/>
      <c r="F39" s="92"/>
      <c r="G39" s="92"/>
      <c r="H39" s="92"/>
      <c r="I39" s="92"/>
      <c r="J39" s="92"/>
      <c r="K39" s="92"/>
      <c r="L39" s="88" t="s">
        <v>500</v>
      </c>
    </row>
    <row r="40" customFormat="false" ht="15" hidden="false" customHeight="true" outlineLevel="0" collapsed="false">
      <c r="A40" s="92"/>
      <c r="B40" s="92"/>
      <c r="C40" s="92"/>
      <c r="D40" s="92"/>
      <c r="E40" s="92"/>
      <c r="F40" s="92"/>
      <c r="G40" s="92"/>
      <c r="H40" s="92"/>
      <c r="I40" s="92"/>
      <c r="J40" s="92"/>
      <c r="K40" s="92"/>
      <c r="L40" s="92"/>
    </row>
    <row r="41" customFormat="false" ht="15" hidden="false" customHeight="true" outlineLevel="0" collapsed="false">
      <c r="A41" s="82" t="s">
        <v>501</v>
      </c>
      <c r="B41" s="83"/>
      <c r="C41" s="83"/>
      <c r="D41" s="83"/>
      <c r="E41" s="83"/>
      <c r="F41" s="83"/>
      <c r="G41" s="83"/>
      <c r="H41" s="83"/>
      <c r="I41" s="83"/>
      <c r="J41" s="83"/>
      <c r="K41" s="83"/>
      <c r="L41" s="83"/>
    </row>
    <row r="42" customFormat="false" ht="15" hidden="false" customHeight="true" outlineLevel="0" collapsed="false">
      <c r="A42" s="99" t="s">
        <v>502</v>
      </c>
      <c r="B42" s="99"/>
      <c r="C42" s="99" t="s">
        <v>202</v>
      </c>
      <c r="D42" s="99" t="s">
        <v>203</v>
      </c>
      <c r="E42" s="99" t="s">
        <v>204</v>
      </c>
      <c r="F42" s="99" t="s">
        <v>205</v>
      </c>
      <c r="G42" s="92"/>
      <c r="H42" s="92"/>
      <c r="I42" s="92"/>
      <c r="J42" s="92"/>
      <c r="K42" s="92"/>
      <c r="L42" s="92"/>
    </row>
    <row r="43" customFormat="false" ht="15" hidden="false" customHeight="true" outlineLevel="0" collapsed="false">
      <c r="A43" s="84" t="s">
        <v>373</v>
      </c>
      <c r="B43" s="92"/>
      <c r="C43" s="100" t="n">
        <f aca="false">Historical!D7/Historical!C7-1</f>
        <v>0.23021875254127</v>
      </c>
      <c r="D43" s="100" t="n">
        <f aca="false">Historical!E7/Historical!D7-1</f>
        <v>0.196192490745637</v>
      </c>
      <c r="E43" s="100" t="n">
        <f aca="false">Historical!F7/Historical!E7-1</f>
        <v>0.113174182139699</v>
      </c>
      <c r="F43" s="100" t="n">
        <f aca="false">Historical!G7/Historical!F7-1</f>
        <v>0.0679110405083399</v>
      </c>
      <c r="G43" s="92"/>
      <c r="H43" s="92"/>
      <c r="I43" s="92"/>
      <c r="J43" s="92"/>
      <c r="K43" s="92"/>
      <c r="L43" s="92"/>
    </row>
    <row r="44" customFormat="false" ht="15" hidden="false" customHeight="true" outlineLevel="0" collapsed="false">
      <c r="A44" s="84" t="s">
        <v>17</v>
      </c>
      <c r="B44" s="92"/>
      <c r="C44" s="100" t="n">
        <f aca="false">Historical!D47</f>
        <v>0.178</v>
      </c>
      <c r="D44" s="100" t="n">
        <f aca="false">Historical!E47</f>
        <v>0.137</v>
      </c>
      <c r="E44" s="100" t="n">
        <f aca="false">Historical!F47</f>
        <v>0.055</v>
      </c>
      <c r="F44" s="100" t="n">
        <f aca="false">Historical!G47</f>
        <v>0.024</v>
      </c>
      <c r="G44" s="92"/>
      <c r="H44" s="92"/>
      <c r="I44" s="92"/>
      <c r="J44" s="92"/>
      <c r="K44" s="92"/>
      <c r="L44" s="92"/>
    </row>
    <row r="45" customFormat="false" ht="15" hidden="false" customHeight="true" outlineLevel="0" collapsed="false">
      <c r="A45" s="84" t="s">
        <v>169</v>
      </c>
      <c r="B45" s="92"/>
      <c r="C45" s="100" t="n">
        <f aca="false">Historical!D37/Historical!C37-1</f>
        <v>0.220532319391635</v>
      </c>
      <c r="D45" s="100" t="n">
        <f aca="false">Historical!E37/Historical!D37-1</f>
        <v>0.238006230529595</v>
      </c>
      <c r="E45" s="100" t="n">
        <f aca="false">Historical!F37/Historical!E37-1</f>
        <v>0.171112229491696</v>
      </c>
      <c r="F45" s="100" t="n">
        <f aca="false">Historical!G37/Historical!F37-1</f>
        <v>0.0915341641598626</v>
      </c>
      <c r="G45" s="92"/>
      <c r="H45" s="92"/>
      <c r="I45" s="92"/>
      <c r="J45" s="92"/>
      <c r="K45" s="92"/>
      <c r="L45" s="92"/>
    </row>
    <row r="46" customFormat="false" ht="15" hidden="false" customHeight="true" outlineLevel="0" collapsed="false">
      <c r="A46" s="84" t="s">
        <v>463</v>
      </c>
      <c r="B46" s="92"/>
      <c r="C46" s="100" t="n">
        <f aca="false">1+Historical!D8/Historical!D7</f>
        <v>0.620240613432047</v>
      </c>
      <c r="D46" s="100" t="n">
        <f aca="false">1+Historical!E8/Historical!E7</f>
        <v>0.607371794871795</v>
      </c>
      <c r="E46" s="100" t="n">
        <f aca="false">1+Historical!F8/Historical!F7</f>
        <v>0.617355043685465</v>
      </c>
      <c r="F46" s="100" t="n">
        <f aca="false">1+Historical!G8/Historical!G7</f>
        <v>0.614587207140201</v>
      </c>
      <c r="G46" s="92"/>
      <c r="H46" s="92"/>
      <c r="I46" s="92"/>
      <c r="J46" s="92"/>
      <c r="K46" s="92"/>
      <c r="L46" s="92"/>
    </row>
    <row r="47" customFormat="false" ht="15" hidden="false" customHeight="true" outlineLevel="0" collapsed="false">
      <c r="A47" s="84" t="s">
        <v>23</v>
      </c>
      <c r="B47" s="92"/>
      <c r="C47" s="100" t="n">
        <f aca="false">Historical!D26</f>
        <v>0.102062400846113</v>
      </c>
      <c r="D47" s="100" t="n">
        <f aca="false">Historical!E26</f>
        <v>0.0948828470380194</v>
      </c>
      <c r="E47" s="100" t="n">
        <f aca="false">Historical!F26</f>
        <v>0.0969519459888801</v>
      </c>
      <c r="F47" s="100" t="n">
        <f aca="false">Historical!G26</f>
        <v>0.0871606545184083</v>
      </c>
      <c r="G47" s="92"/>
      <c r="H47" s="92"/>
      <c r="I47" s="92"/>
      <c r="J47" s="92"/>
      <c r="K47" s="92"/>
      <c r="L47" s="92"/>
    </row>
    <row r="48" customFormat="false" ht="15" hidden="false" customHeight="true" outlineLevel="0" collapsed="false">
      <c r="A48" s="84" t="s">
        <v>503</v>
      </c>
      <c r="B48" s="92"/>
      <c r="C48" s="101" t="n">
        <f aca="false">-Historical!D57/Historical!D8*365</f>
        <v>25.7946040034813</v>
      </c>
      <c r="D48" s="101" t="n">
        <f aca="false">-Historical!E57/Historical!E8*365</f>
        <v>25.0696692470091</v>
      </c>
      <c r="E48" s="101" t="n">
        <f aca="false">-Historical!F57/Historical!F8*365</f>
        <v>26.1390762843799</v>
      </c>
      <c r="F48" s="101" t="n">
        <f aca="false">-Historical!G57/Historical!G8*365</f>
        <v>24.5211675310578</v>
      </c>
      <c r="G48" s="92"/>
      <c r="H48" s="92"/>
      <c r="I48" s="92"/>
      <c r="J48" s="92"/>
      <c r="K48" s="92"/>
      <c r="L48" s="92"/>
    </row>
    <row r="49" customFormat="false" ht="15" hidden="false" customHeight="true" outlineLevel="0" collapsed="false">
      <c r="A49" s="84" t="s">
        <v>504</v>
      </c>
      <c r="B49" s="92"/>
      <c r="C49" s="101" t="n">
        <f aca="false">Historical!D58/Historical!D7*365</f>
        <v>12.1119777895294</v>
      </c>
      <c r="D49" s="101" t="n">
        <f aca="false">Historical!E58/Historical!E7*365</f>
        <v>10.8515694076039</v>
      </c>
      <c r="E49" s="101" t="n">
        <f aca="false">Historical!F58/Historical!F7*365</f>
        <v>11.3065925337569</v>
      </c>
      <c r="F49" s="101" t="n">
        <f aca="false">Historical!G58/Historical!G7*365</f>
        <v>11.7752882112309</v>
      </c>
      <c r="G49" s="92"/>
      <c r="H49" s="92"/>
      <c r="I49" s="92"/>
      <c r="J49" s="92"/>
      <c r="K49" s="92"/>
      <c r="L49" s="92"/>
    </row>
    <row r="50" customFormat="false" ht="15" hidden="false" customHeight="true" outlineLevel="0" collapsed="false">
      <c r="A50" s="84" t="s">
        <v>471</v>
      </c>
      <c r="B50" s="92"/>
      <c r="C50" s="101" t="n">
        <f aca="false">-Historical!D64/Historical!D7*365</f>
        <v>46.2523135906928</v>
      </c>
      <c r="D50" s="101" t="n">
        <f aca="false">-Historical!E64/Historical!E7*365</f>
        <v>42.5792992926614</v>
      </c>
      <c r="E50" s="101" t="n">
        <f aca="false">-Historical!F64/Historical!F7*365</f>
        <v>44.1935563939635</v>
      </c>
      <c r="F50" s="101" t="n">
        <f aca="false">-Historical!G64/Historical!G7*365</f>
        <v>46.2867236891038</v>
      </c>
      <c r="G50" s="92"/>
      <c r="H50" s="92"/>
      <c r="I50" s="92"/>
      <c r="J50" s="92"/>
      <c r="K50" s="92"/>
      <c r="L50" s="92"/>
    </row>
    <row r="51" customFormat="false" ht="15" hidden="false" customHeight="true" outlineLevel="0" collapsed="false">
      <c r="A51" s="84" t="s">
        <v>505</v>
      </c>
      <c r="B51" s="92"/>
      <c r="C51" s="100" t="n">
        <f aca="false">Historical!D123/Historical!C53</f>
        <v>0.16870273414776</v>
      </c>
      <c r="D51" s="100" t="n">
        <f aca="false">Historical!E123/Historical!D53</f>
        <v>0.170769230769231</v>
      </c>
      <c r="E51" s="100" t="n">
        <f aca="false">Historical!F123/Historical!E53</f>
        <v>0.150107779737409</v>
      </c>
      <c r="F51" s="100" t="n">
        <f aca="false">Historical!G123/Historical!F53</f>
        <v>0.136452534978186</v>
      </c>
      <c r="G51" s="92"/>
      <c r="H51" s="92"/>
      <c r="I51" s="92"/>
      <c r="J51" s="92"/>
      <c r="K51" s="92"/>
      <c r="L51" s="92"/>
    </row>
    <row r="52" customFormat="false" ht="15" hidden="false" customHeight="true" outlineLevel="0" collapsed="false">
      <c r="A52" s="84" t="s">
        <v>506</v>
      </c>
      <c r="B52" s="92"/>
      <c r="C52" s="101" t="n">
        <f aca="false">-Historical!D117</f>
        <v>103.3</v>
      </c>
      <c r="D52" s="101" t="n">
        <f aca="false">-Historical!E117</f>
        <v>198.1</v>
      </c>
      <c r="E52" s="101" t="n">
        <f aca="false">-Historical!F117</f>
        <v>240.9</v>
      </c>
      <c r="F52" s="101" t="n">
        <f aca="false">-Historical!G117</f>
        <v>285.4</v>
      </c>
      <c r="G52" s="92"/>
      <c r="H52" s="92"/>
      <c r="I52" s="92"/>
      <c r="J52" s="92"/>
      <c r="K52" s="92"/>
      <c r="L52" s="92"/>
    </row>
    <row r="53" customFormat="false" ht="15" hidden="false" customHeight="true" outlineLevel="0" collapsed="false">
      <c r="A53" s="92"/>
      <c r="B53" s="92"/>
      <c r="C53" s="92"/>
      <c r="D53" s="92"/>
      <c r="E53" s="92"/>
      <c r="F53" s="92"/>
      <c r="G53" s="92"/>
      <c r="H53" s="92"/>
      <c r="I53" s="92"/>
      <c r="J53" s="92"/>
      <c r="K53" s="92"/>
      <c r="L53" s="92"/>
    </row>
    <row r="54" customFormat="false" ht="15" hidden="false" customHeight="true" outlineLevel="0" collapsed="false">
      <c r="A54" s="82" t="s">
        <v>507</v>
      </c>
      <c r="B54" s="83"/>
      <c r="C54" s="83"/>
      <c r="D54" s="83"/>
      <c r="E54" s="83"/>
      <c r="F54" s="83"/>
      <c r="G54" s="83"/>
      <c r="H54" s="83"/>
      <c r="I54" s="83"/>
      <c r="J54" s="83"/>
      <c r="K54" s="83"/>
      <c r="L54" s="83"/>
    </row>
    <row r="55" customFormat="false" ht="16.5" hidden="false" customHeight="true" outlineLevel="0" collapsed="false">
      <c r="A55" s="84" t="s">
        <v>508</v>
      </c>
      <c r="B55" s="92"/>
      <c r="C55" s="91" t="n">
        <v>1101.5</v>
      </c>
      <c r="D55" s="92"/>
      <c r="E55" s="92"/>
      <c r="F55" s="92"/>
      <c r="G55" s="92"/>
      <c r="H55" s="92"/>
      <c r="I55" s="92"/>
      <c r="J55" s="92"/>
      <c r="K55" s="92"/>
      <c r="L55" s="88" t="s">
        <v>509</v>
      </c>
    </row>
    <row r="56" customFormat="false" ht="16.5" hidden="false" customHeight="true" outlineLevel="0" collapsed="false">
      <c r="A56" s="84" t="s">
        <v>510</v>
      </c>
      <c r="B56" s="92"/>
      <c r="C56" s="91" t="n">
        <v>86.5</v>
      </c>
      <c r="D56" s="92"/>
      <c r="E56" s="92"/>
      <c r="F56" s="92"/>
      <c r="G56" s="92"/>
      <c r="H56" s="92"/>
      <c r="I56" s="92"/>
      <c r="J56" s="92"/>
      <c r="K56" s="92"/>
      <c r="L56" s="88" t="s">
        <v>511</v>
      </c>
    </row>
    <row r="57" customFormat="false" ht="16.5" hidden="false" customHeight="true" outlineLevel="0" collapsed="false">
      <c r="A57" s="84" t="s">
        <v>512</v>
      </c>
      <c r="B57" s="92"/>
      <c r="C57" s="89" t="n">
        <v>0.021</v>
      </c>
      <c r="D57" s="92"/>
      <c r="E57" s="92"/>
      <c r="F57" s="92"/>
      <c r="G57" s="92"/>
      <c r="H57" s="92"/>
      <c r="I57" s="92"/>
      <c r="J57" s="92"/>
      <c r="K57" s="92"/>
      <c r="L57" s="88" t="s">
        <v>513</v>
      </c>
    </row>
    <row r="58" customFormat="false" ht="16.5" hidden="false" customHeight="true" outlineLevel="0" collapsed="false">
      <c r="A58" s="84" t="s">
        <v>514</v>
      </c>
      <c r="B58" s="92"/>
      <c r="C58" s="87" t="n">
        <v>2773</v>
      </c>
      <c r="D58" s="92"/>
      <c r="E58" s="92"/>
      <c r="F58" s="92"/>
      <c r="G58" s="92"/>
      <c r="H58" s="92"/>
      <c r="I58" s="92"/>
      <c r="J58" s="92"/>
      <c r="K58" s="92"/>
      <c r="L58" s="88" t="s">
        <v>515</v>
      </c>
    </row>
    <row r="59" customFormat="false" ht="16.5" hidden="false" customHeight="true" outlineLevel="0" collapsed="false">
      <c r="A59" s="84" t="s">
        <v>516</v>
      </c>
      <c r="B59" s="92"/>
      <c r="C59" s="102" t="s">
        <v>517</v>
      </c>
      <c r="D59" s="92"/>
      <c r="E59" s="92"/>
      <c r="F59" s="92"/>
      <c r="G59" s="92"/>
      <c r="H59" s="92"/>
      <c r="I59" s="92"/>
      <c r="J59" s="92"/>
      <c r="K59" s="92"/>
      <c r="L59" s="88" t="s">
        <v>515</v>
      </c>
    </row>
    <row r="60" customFormat="false" ht="16.5" hidden="false" customHeight="true" outlineLevel="0" collapsed="false">
      <c r="A60" s="84" t="s">
        <v>518</v>
      </c>
      <c r="B60" s="92"/>
      <c r="C60" s="91" t="n">
        <v>180</v>
      </c>
      <c r="D60" s="92"/>
      <c r="E60" s="92"/>
      <c r="F60" s="92"/>
      <c r="G60" s="92"/>
      <c r="H60" s="92"/>
      <c r="I60" s="92"/>
      <c r="J60" s="92"/>
      <c r="K60" s="92"/>
      <c r="L60" s="88" t="s">
        <v>519</v>
      </c>
    </row>
    <row r="61" customFormat="false" ht="16.5" hidden="false" customHeight="true" outlineLevel="0" collapsed="false">
      <c r="A61" s="84" t="s">
        <v>520</v>
      </c>
      <c r="B61" s="92"/>
      <c r="C61" s="89" t="n">
        <v>0.02</v>
      </c>
      <c r="D61" s="92"/>
      <c r="E61" s="92"/>
      <c r="F61" s="92"/>
      <c r="G61" s="92"/>
      <c r="H61" s="92"/>
      <c r="I61" s="92"/>
      <c r="J61" s="92"/>
      <c r="K61" s="92"/>
      <c r="L61" s="88" t="s">
        <v>521</v>
      </c>
    </row>
    <row r="62" customFormat="false" ht="16.5" hidden="false" customHeight="true" outlineLevel="0" collapsed="false">
      <c r="A62" s="84" t="s">
        <v>522</v>
      </c>
      <c r="B62" s="92"/>
      <c r="C62" s="91" t="n">
        <v>10</v>
      </c>
      <c r="D62" s="92"/>
      <c r="E62" s="92"/>
      <c r="F62" s="92"/>
      <c r="G62" s="92"/>
      <c r="H62" s="92"/>
      <c r="I62" s="92"/>
      <c r="J62" s="92"/>
      <c r="K62" s="92"/>
      <c r="L62" s="88" t="s">
        <v>523</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1"/>
  <cols>
    <col collapsed="false" customWidth="true" hidden="false" outlineLevel="0" max="1" min="1" style="1" width="34"/>
    <col collapsed="false" customWidth="true" hidden="false" outlineLevel="0" max="2" min="2" style="1" width="13"/>
    <col collapsed="false" customWidth="true" hidden="true" outlineLevel="1" max="5" min="3" style="1" width="13"/>
    <col collapsed="false" customWidth="true" hidden="false" outlineLevel="0" max="6" min="6" style="1" width="16"/>
  </cols>
  <sheetData>
    <row r="1" customFormat="false" ht="21.75" hidden="false" customHeight="true" outlineLevel="0" collapsed="false">
      <c r="A1" s="2" t="s">
        <v>93</v>
      </c>
    </row>
    <row r="2" customFormat="false" ht="39.75" hidden="false" customHeight="true" outlineLevel="0" collapsed="false">
      <c r="A2" s="3" t="s">
        <v>524</v>
      </c>
      <c r="B2" s="3"/>
      <c r="C2" s="3"/>
      <c r="D2" s="3"/>
      <c r="E2" s="3"/>
      <c r="F2" s="3"/>
      <c r="G2" s="3"/>
      <c r="H2" s="3"/>
      <c r="I2" s="3"/>
      <c r="J2" s="3"/>
    </row>
    <row r="4" customFormat="false" ht="15" hidden="false" customHeight="true" outlineLevel="0" collapsed="false">
      <c r="A4" s="77" t="s">
        <v>525</v>
      </c>
      <c r="B4" s="103" t="s">
        <v>41</v>
      </c>
      <c r="C4" s="60"/>
    </row>
    <row r="6" customFormat="false" ht="15" hidden="false" customHeight="true" outlineLevel="0" collapsed="false">
      <c r="A6" s="104" t="s">
        <v>8</v>
      </c>
      <c r="B6" s="104" t="s">
        <v>526</v>
      </c>
      <c r="C6" s="104" t="s">
        <v>41</v>
      </c>
      <c r="D6" s="104" t="s">
        <v>42</v>
      </c>
      <c r="E6" s="104" t="s">
        <v>40</v>
      </c>
      <c r="F6" s="105" t="str">
        <f aca="false">B4&amp;" case"</f>
        <v>Base case</v>
      </c>
    </row>
    <row r="7" customFormat="false" ht="15" hidden="false" customHeight="true" outlineLevel="0" collapsed="false">
      <c r="A7" s="52" t="s">
        <v>255</v>
      </c>
      <c r="B7" s="106" t="s">
        <v>9</v>
      </c>
      <c r="C7" s="107" t="n">
        <v>105</v>
      </c>
      <c r="D7" s="107" t="n">
        <v>112</v>
      </c>
      <c r="E7" s="107" t="n">
        <v>85</v>
      </c>
      <c r="F7" s="21" t="n">
        <f aca="false">INDEX(C7:E7,1,MATCH($B$4,$C$6:$E$6,0))</f>
        <v>105</v>
      </c>
    </row>
    <row r="8" customFormat="false" ht="15" hidden="false" customHeight="true" outlineLevel="0" collapsed="false">
      <c r="A8" s="12"/>
      <c r="B8" s="108" t="s">
        <v>10</v>
      </c>
      <c r="C8" s="107" t="n">
        <v>110</v>
      </c>
      <c r="D8" s="107" t="n">
        <v>140</v>
      </c>
      <c r="E8" s="107" t="n">
        <v>80</v>
      </c>
      <c r="F8" s="21" t="n">
        <f aca="false">INDEX(C8:E8,1,MATCH($B$4,$C$6:$E$6,0))</f>
        <v>110</v>
      </c>
    </row>
    <row r="9" customFormat="false" ht="15" hidden="false" customHeight="true" outlineLevel="0" collapsed="false">
      <c r="A9" s="12"/>
      <c r="B9" s="106" t="s">
        <v>11</v>
      </c>
      <c r="C9" s="107" t="n">
        <v>110</v>
      </c>
      <c r="D9" s="107" t="n">
        <v>140</v>
      </c>
      <c r="E9" s="107" t="n">
        <v>80</v>
      </c>
      <c r="F9" s="21" t="n">
        <f aca="false">INDEX(C9:E9,1,MATCH($B$4,$C$6:$E$6,0))</f>
        <v>110</v>
      </c>
    </row>
    <row r="10" customFormat="false" ht="15" hidden="false" customHeight="true" outlineLevel="0" collapsed="false">
      <c r="A10" s="52" t="s">
        <v>17</v>
      </c>
      <c r="B10" s="106" t="s">
        <v>9</v>
      </c>
      <c r="C10" s="109" t="n">
        <v>0.026</v>
      </c>
      <c r="D10" s="109" t="n">
        <v>0.035</v>
      </c>
      <c r="E10" s="109" t="n">
        <v>0.015</v>
      </c>
      <c r="F10" s="110" t="n">
        <f aca="false">INDEX(C10:E10,1,MATCH($B$4,$C$6:$E$6,0))</f>
        <v>0.026</v>
      </c>
    </row>
    <row r="11" customFormat="false" ht="15" hidden="false" customHeight="true" outlineLevel="0" collapsed="false">
      <c r="A11" s="12"/>
      <c r="B11" s="26" t="s">
        <v>10</v>
      </c>
      <c r="C11" s="109" t="n">
        <v>0.03</v>
      </c>
      <c r="D11" s="109" t="n">
        <v>0.05</v>
      </c>
      <c r="E11" s="109" t="n">
        <v>0.005</v>
      </c>
      <c r="F11" s="110" t="n">
        <f aca="false">INDEX(C11:E11,1,MATCH($B$4,$C$6:$E$6,0))</f>
        <v>0.03</v>
      </c>
    </row>
    <row r="12" customFormat="false" ht="15" hidden="false" customHeight="true" outlineLevel="0" collapsed="false">
      <c r="A12" s="12"/>
      <c r="B12" s="26" t="s">
        <v>11</v>
      </c>
      <c r="C12" s="109" t="n">
        <v>0.03</v>
      </c>
      <c r="D12" s="109" t="n">
        <v>0.05</v>
      </c>
      <c r="E12" s="109" t="n">
        <v>0.005</v>
      </c>
      <c r="F12" s="110" t="n">
        <f aca="false">INDEX(C12:E12,1,MATCH($B$4,$C$6:$E$6,0))</f>
        <v>0.03</v>
      </c>
    </row>
    <row r="13" customFormat="false" ht="15" hidden="false" customHeight="true" outlineLevel="0" collapsed="false">
      <c r="A13" s="52" t="s">
        <v>19</v>
      </c>
      <c r="B13" s="26" t="s">
        <v>9</v>
      </c>
      <c r="C13" s="109" t="n">
        <v>0.85</v>
      </c>
      <c r="D13" s="109" t="n">
        <v>0.95</v>
      </c>
      <c r="E13" s="109" t="n">
        <v>0.7</v>
      </c>
      <c r="F13" s="110" t="n">
        <f aca="false">INDEX(C13:E13,1,MATCH($B$4,$C$6:$E$6,0))</f>
        <v>0.85</v>
      </c>
    </row>
    <row r="14" customFormat="false" ht="15" hidden="false" customHeight="true" outlineLevel="0" collapsed="false">
      <c r="A14" s="12"/>
      <c r="B14" s="26" t="s">
        <v>10</v>
      </c>
      <c r="C14" s="109" t="n">
        <v>0.85</v>
      </c>
      <c r="D14" s="109" t="n">
        <v>0.95</v>
      </c>
      <c r="E14" s="109" t="n">
        <v>0.7</v>
      </c>
      <c r="F14" s="110" t="n">
        <f aca="false">INDEX(C14:E14,1,MATCH($B$4,$C$6:$E$6,0))</f>
        <v>0.85</v>
      </c>
    </row>
    <row r="15" customFormat="false" ht="15" hidden="false" customHeight="true" outlineLevel="0" collapsed="false">
      <c r="A15" s="12"/>
      <c r="B15" s="26" t="s">
        <v>11</v>
      </c>
      <c r="C15" s="109" t="n">
        <v>0.85</v>
      </c>
      <c r="D15" s="109" t="n">
        <v>0.95</v>
      </c>
      <c r="E15" s="109" t="n">
        <v>0.7</v>
      </c>
      <c r="F15" s="110" t="n">
        <f aca="false">INDEX(C15:E15,1,MATCH($B$4,$C$6:$E$6,0))</f>
        <v>0.85</v>
      </c>
    </row>
    <row r="16" customFormat="false" ht="15" hidden="false" customHeight="true" outlineLevel="0" collapsed="false">
      <c r="A16" s="52" t="s">
        <v>21</v>
      </c>
      <c r="B16" s="26" t="s">
        <v>9</v>
      </c>
      <c r="C16" s="109" t="n">
        <v>0.1</v>
      </c>
      <c r="D16" s="109" t="n">
        <v>0.14</v>
      </c>
      <c r="E16" s="109" t="n">
        <v>0.06</v>
      </c>
      <c r="F16" s="110" t="n">
        <f aca="false">INDEX(C16:E16,1,MATCH($B$4,$C$6:$E$6,0))</f>
        <v>0.1</v>
      </c>
    </row>
    <row r="17" customFormat="false" ht="15" hidden="false" customHeight="true" outlineLevel="0" collapsed="false">
      <c r="A17" s="12"/>
      <c r="B17" s="26" t="s">
        <v>10</v>
      </c>
      <c r="C17" s="109" t="n">
        <v>0.08</v>
      </c>
      <c r="D17" s="109" t="n">
        <v>0.12</v>
      </c>
      <c r="E17" s="109" t="n">
        <v>0.04</v>
      </c>
      <c r="F17" s="110" t="n">
        <f aca="false">INDEX(C17:E17,1,MATCH($B$4,$C$6:$E$6,0))</f>
        <v>0.08</v>
      </c>
    </row>
    <row r="18" customFormat="false" ht="15" hidden="false" customHeight="true" outlineLevel="0" collapsed="false">
      <c r="A18" s="12"/>
      <c r="B18" s="26" t="s">
        <v>11</v>
      </c>
      <c r="C18" s="109" t="n">
        <v>0.08</v>
      </c>
      <c r="D18" s="109" t="n">
        <v>0.12</v>
      </c>
      <c r="E18" s="109" t="n">
        <v>0.04</v>
      </c>
      <c r="F18" s="110" t="n">
        <f aca="false">INDEX(C18:E18,1,MATCH($B$4,$C$6:$E$6,0))</f>
        <v>0.08</v>
      </c>
    </row>
    <row r="19" customFormat="false" ht="15" hidden="false" customHeight="true" outlineLevel="0" collapsed="false">
      <c r="A19" s="52" t="s">
        <v>23</v>
      </c>
      <c r="B19" s="26" t="s">
        <v>9</v>
      </c>
      <c r="C19" s="109" t="n">
        <v>0.088</v>
      </c>
      <c r="D19" s="109" t="n">
        <v>0.094</v>
      </c>
      <c r="E19" s="109" t="n">
        <v>0.082</v>
      </c>
      <c r="F19" s="110" t="n">
        <f aca="false">INDEX(C19:E19,1,MATCH($B$4,$C$6:$E$6,0))</f>
        <v>0.088</v>
      </c>
    </row>
    <row r="20" customFormat="false" ht="15" hidden="false" customHeight="true" outlineLevel="0" collapsed="false">
      <c r="A20" s="12"/>
      <c r="B20" s="26" t="s">
        <v>10</v>
      </c>
      <c r="C20" s="109" t="n">
        <v>0.09</v>
      </c>
      <c r="D20" s="109" t="n">
        <v>0.1</v>
      </c>
      <c r="E20" s="109" t="n">
        <v>0.08</v>
      </c>
      <c r="F20" s="110" t="n">
        <f aca="false">INDEX(C20:E20,1,MATCH($B$4,$C$6:$E$6,0))</f>
        <v>0.09</v>
      </c>
    </row>
    <row r="21" customFormat="false" ht="15" hidden="false" customHeight="true" outlineLevel="0" collapsed="false">
      <c r="A21" s="12"/>
      <c r="B21" s="26" t="s">
        <v>11</v>
      </c>
      <c r="C21" s="109" t="n">
        <v>0.093</v>
      </c>
      <c r="D21" s="109" t="n">
        <v>0.103</v>
      </c>
      <c r="E21" s="109" t="n">
        <v>0.083</v>
      </c>
      <c r="F21" s="110" t="n">
        <f aca="false">INDEX(C21:E21,1,MATCH($B$4,$C$6:$E$6,0))</f>
        <v>0.093</v>
      </c>
    </row>
    <row r="22" customFormat="false" ht="15" hidden="false" customHeight="true" outlineLevel="0" collapsed="false">
      <c r="A22" s="12"/>
      <c r="B22" s="12"/>
      <c r="C22" s="12"/>
      <c r="D22" s="12"/>
      <c r="E22" s="12"/>
      <c r="F22" s="12"/>
    </row>
    <row r="23" customFormat="false" ht="15" hidden="false" customHeight="true" outlineLevel="0" collapsed="false">
      <c r="A23" s="12"/>
      <c r="B23" s="12"/>
      <c r="C23" s="12"/>
      <c r="D23" s="12"/>
      <c r="E23" s="12"/>
      <c r="F23" s="12"/>
    </row>
    <row r="24" customFormat="false" ht="15" hidden="false" customHeight="true" outlineLevel="0" collapsed="false">
      <c r="A24" s="12"/>
      <c r="B24" s="12"/>
      <c r="C24" s="12"/>
      <c r="D24" s="12"/>
      <c r="E24" s="12"/>
      <c r="F24" s="12"/>
    </row>
    <row r="25" customFormat="false" ht="15" hidden="false" customHeight="true" outlineLevel="0" collapsed="false">
      <c r="A25" s="12"/>
      <c r="B25" s="12"/>
      <c r="C25" s="12"/>
      <c r="D25" s="12"/>
      <c r="E25" s="12"/>
      <c r="F25" s="12"/>
    </row>
    <row r="26" customFormat="false" ht="15" hidden="false" customHeight="true" outlineLevel="0" collapsed="false">
      <c r="A26" s="12"/>
      <c r="B26" s="12"/>
      <c r="C26" s="12"/>
      <c r="D26" s="12"/>
      <c r="E26" s="12"/>
      <c r="F26" s="12"/>
    </row>
    <row r="27" customFormat="false" ht="15" hidden="false" customHeight="true" outlineLevel="0" collapsed="false">
      <c r="A27" s="12"/>
      <c r="B27" s="12"/>
      <c r="C27" s="12"/>
      <c r="D27" s="12"/>
      <c r="E27" s="12"/>
      <c r="F27" s="12"/>
    </row>
    <row r="28" customFormat="false" ht="15" hidden="false" customHeight="true" outlineLevel="0" collapsed="false">
      <c r="A28" s="12"/>
      <c r="B28" s="12"/>
      <c r="C28" s="12"/>
      <c r="D28" s="12"/>
      <c r="E28" s="12"/>
      <c r="F28" s="12"/>
    </row>
    <row r="29" customFormat="false" ht="15" hidden="false" customHeight="true" outlineLevel="0" collapsed="false">
      <c r="A29" s="12"/>
      <c r="B29" s="12"/>
      <c r="C29" s="12"/>
      <c r="D29" s="12"/>
      <c r="E29" s="12"/>
      <c r="F29" s="12"/>
    </row>
    <row r="30" customFormat="false" ht="15" hidden="false" customHeight="true" outlineLevel="0" collapsed="false">
      <c r="A30" s="12"/>
      <c r="B30" s="12"/>
      <c r="C30" s="12"/>
      <c r="D30" s="12"/>
      <c r="E30" s="12"/>
      <c r="F30" s="12"/>
    </row>
    <row r="31" customFormat="false" ht="15" hidden="false" customHeight="true" outlineLevel="0" collapsed="false">
      <c r="A31" s="12"/>
      <c r="B31" s="12"/>
      <c r="C31" s="12"/>
      <c r="D31" s="12"/>
      <c r="E31" s="12"/>
      <c r="F31" s="12"/>
    </row>
    <row r="32" customFormat="false" ht="15" hidden="false" customHeight="true" outlineLevel="0" collapsed="false">
      <c r="A32" s="12"/>
      <c r="B32" s="12"/>
      <c r="C32" s="12"/>
      <c r="D32" s="12"/>
      <c r="E32" s="12"/>
      <c r="F32" s="12"/>
    </row>
    <row r="33" customFormat="false" ht="15" hidden="false" customHeight="true" outlineLevel="0" collapsed="false">
      <c r="A33" s="12"/>
      <c r="B33" s="12"/>
      <c r="C33" s="12"/>
      <c r="D33" s="12"/>
      <c r="E33" s="12"/>
      <c r="F33" s="12"/>
    </row>
    <row r="34" customFormat="false" ht="15" hidden="false" customHeight="true" outlineLevel="0" collapsed="false">
      <c r="A34" s="12"/>
      <c r="B34" s="12"/>
      <c r="C34" s="12"/>
      <c r="D34" s="12"/>
      <c r="E34" s="12"/>
      <c r="F34" s="12"/>
    </row>
    <row r="35" customFormat="false" ht="15" hidden="false" customHeight="true" outlineLevel="0" collapsed="false">
      <c r="A35" s="12"/>
      <c r="B35" s="12"/>
      <c r="C35" s="12"/>
      <c r="D35" s="12"/>
      <c r="E35" s="12"/>
      <c r="F35" s="12"/>
    </row>
    <row r="36" customFormat="false" ht="15" hidden="false" customHeight="true" outlineLevel="0" collapsed="false">
      <c r="A36" s="12"/>
      <c r="B36" s="12"/>
      <c r="C36" s="12"/>
      <c r="D36" s="12"/>
      <c r="E36" s="12"/>
      <c r="F36" s="12"/>
    </row>
    <row r="37" customFormat="false" ht="15" hidden="false" customHeight="true" outlineLevel="0" collapsed="false">
      <c r="A37" s="12"/>
      <c r="B37" s="12"/>
      <c r="C37" s="12"/>
      <c r="D37" s="12"/>
      <c r="E37" s="12"/>
      <c r="F37" s="12"/>
    </row>
    <row r="38" customFormat="false" ht="15" hidden="false" customHeight="true" outlineLevel="0" collapsed="false">
      <c r="A38" s="12"/>
      <c r="B38" s="12"/>
      <c r="C38" s="12"/>
      <c r="D38" s="12"/>
      <c r="E38" s="12"/>
      <c r="F38" s="12"/>
    </row>
    <row r="39" customFormat="false" ht="15" hidden="false" customHeight="true" outlineLevel="0" collapsed="false">
      <c r="A39" s="12"/>
      <c r="B39" s="12"/>
      <c r="C39" s="12"/>
      <c r="D39" s="12"/>
      <c r="E39" s="12"/>
      <c r="F39" s="12"/>
    </row>
    <row r="40" customFormat="false" ht="15" hidden="false" customHeight="true" outlineLevel="0" collapsed="false">
      <c r="A40" s="12"/>
      <c r="B40" s="12"/>
      <c r="C40" s="12"/>
      <c r="D40" s="12"/>
      <c r="E40" s="12"/>
      <c r="F40" s="12"/>
    </row>
  </sheetData>
  <mergeCells count="1">
    <mergeCell ref="A2:J2"/>
  </mergeCells>
  <dataValidations count="1">
    <dataValidation allowBlank="false" error="Choose Base, Upside or Downside." errorStyle="stop" errorTitle="Scenario" operator="between" prompt="Select a scenario" promptTitle="Scenario" showDropDown="false" showErrorMessage="true" showInputMessage="true" sqref="B4" type="list">
      <formula1>"Base,Upside,Downside"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44"/>
    <col collapsed="false" customWidth="true" hidden="false" outlineLevel="0" max="2" min="2" style="1" width="16"/>
    <col collapsed="false" customWidth="true" hidden="false" outlineLevel="0" max="3" min="3" style="1" width="22"/>
    <col collapsed="false" customWidth="true" hidden="false" outlineLevel="0" max="5" min="4" style="1" width="12"/>
    <col collapsed="false" customWidth="true" hidden="false" outlineLevel="0" max="6" min="6" style="1" width="48"/>
    <col collapsed="false" customWidth="true" hidden="false" outlineLevel="0" max="8" min="7" style="1" width="13"/>
  </cols>
  <sheetData>
    <row r="1" customFormat="false" ht="21.75" hidden="false" customHeight="true" outlineLevel="0" collapsed="false">
      <c r="A1" s="2" t="s">
        <v>527</v>
      </c>
    </row>
    <row r="2" customFormat="false" ht="28.5" hidden="false" customHeight="true" outlineLevel="0" collapsed="false">
      <c r="A2" s="3" t="s">
        <v>528</v>
      </c>
      <c r="B2" s="3"/>
      <c r="C2" s="3"/>
      <c r="D2" s="3"/>
      <c r="E2" s="3"/>
      <c r="F2" s="3"/>
    </row>
    <row r="3" customFormat="false" ht="15" hidden="false" customHeight="true" outlineLevel="0" collapsed="false">
      <c r="A3" s="12"/>
      <c r="B3" s="12"/>
      <c r="C3" s="12"/>
      <c r="D3" s="12"/>
      <c r="E3" s="12"/>
      <c r="F3" s="12"/>
      <c r="G3" s="12"/>
      <c r="H3" s="12"/>
    </row>
    <row r="4" customFormat="false" ht="15" hidden="false" customHeight="true" outlineLevel="0" collapsed="false">
      <c r="A4" s="111" t="s">
        <v>529</v>
      </c>
      <c r="B4" s="59"/>
      <c r="C4" s="59"/>
      <c r="D4" s="59"/>
      <c r="E4" s="59"/>
      <c r="F4" s="59"/>
    </row>
    <row r="5" customFormat="false" ht="28.5" hidden="false" customHeight="true" outlineLevel="0" collapsed="false">
      <c r="A5" s="3" t="s">
        <v>530</v>
      </c>
      <c r="B5" s="3"/>
      <c r="C5" s="3"/>
      <c r="D5" s="3"/>
      <c r="E5" s="3"/>
      <c r="F5" s="3"/>
    </row>
    <row r="6" customFormat="false" ht="15" hidden="false" customHeight="true" outlineLevel="0" collapsed="false">
      <c r="A6" s="12" t="s">
        <v>531</v>
      </c>
      <c r="B6" s="112" t="n">
        <f aca="false">Historical!F36</f>
        <v>1781.7</v>
      </c>
    </row>
    <row r="7" customFormat="false" ht="15" hidden="false" customHeight="true" outlineLevel="0" collapsed="false">
      <c r="A7" s="12" t="s">
        <v>532</v>
      </c>
      <c r="B7" s="113" t="n">
        <f aca="false">Historical!G47</f>
        <v>0.024</v>
      </c>
    </row>
    <row r="8" customFormat="false" ht="15" hidden="false" customHeight="true" outlineLevel="0" collapsed="false">
      <c r="A8" s="12" t="s">
        <v>533</v>
      </c>
      <c r="B8" s="114" t="n">
        <f aca="false">Historical!F49</f>
        <v>0.884877079711944</v>
      </c>
    </row>
    <row r="9" customFormat="false" ht="15" hidden="false" customHeight="true" outlineLevel="0" collapsed="false">
      <c r="A9" s="12" t="s">
        <v>534</v>
      </c>
      <c r="B9" s="115" t="n">
        <f aca="false">B8*(1+B7)</f>
        <v>0.906114129625031</v>
      </c>
    </row>
    <row r="10" customFormat="false" ht="15" hidden="false" customHeight="true" outlineLevel="0" collapsed="false">
      <c r="A10" s="12" t="s">
        <v>535</v>
      </c>
      <c r="B10" s="116" t="n">
        <f aca="false">Historical!F42-Historical!E42</f>
        <v>87</v>
      </c>
    </row>
    <row r="11" customFormat="false" ht="15" hidden="false" customHeight="true" outlineLevel="0" collapsed="false">
      <c r="A11" s="12" t="s">
        <v>536</v>
      </c>
      <c r="B11" s="116" t="n">
        <f aca="false">Historical!G42-Historical!F42</f>
        <v>80</v>
      </c>
    </row>
    <row r="12" customFormat="false" ht="15" hidden="false" customHeight="true" outlineLevel="0" collapsed="false">
      <c r="A12" s="12" t="s">
        <v>537</v>
      </c>
      <c r="B12" s="113" t="n">
        <f aca="false">Scenarios!C13</f>
        <v>0.85</v>
      </c>
    </row>
    <row r="13" customFormat="false" ht="15" hidden="false" customHeight="true" outlineLevel="0" collapsed="false">
      <c r="A13" s="12" t="s">
        <v>362</v>
      </c>
      <c r="B13" s="117" t="n">
        <f aca="false">B6*(1+B7)</f>
        <v>1824.4608</v>
      </c>
    </row>
    <row r="14" customFormat="false" ht="15" hidden="false" customHeight="true" outlineLevel="0" collapsed="false">
      <c r="A14" s="12" t="s">
        <v>538</v>
      </c>
      <c r="B14" s="117" t="n">
        <f aca="false">B10*(1-Drivers!C36)*B9*B12</f>
        <v>33.5035699428855</v>
      </c>
    </row>
    <row r="15" customFormat="false" ht="15" hidden="false" customHeight="true" outlineLevel="0" collapsed="false">
      <c r="A15" s="12" t="s">
        <v>539</v>
      </c>
      <c r="B15" s="117" t="n">
        <f aca="false">B11*Drivers!C36*B9*B12</f>
        <v>30.8078804072511</v>
      </c>
    </row>
    <row r="16" customFormat="false" ht="15" hidden="false" customHeight="true" outlineLevel="0" collapsed="false">
      <c r="A16" s="52" t="s">
        <v>60</v>
      </c>
      <c r="B16" s="117" t="n">
        <f aca="false">B13+B14+B15</f>
        <v>1888.77225035014</v>
      </c>
    </row>
    <row r="17" customFormat="false" ht="15" hidden="false" customHeight="true" outlineLevel="0" collapsed="false">
      <c r="A17" s="12" t="s">
        <v>61</v>
      </c>
      <c r="B17" s="112" t="n">
        <f aca="false">Historical!G36</f>
        <v>1897.2</v>
      </c>
    </row>
    <row r="18" customFormat="false" ht="15" hidden="false" customHeight="true" outlineLevel="0" collapsed="false">
      <c r="A18" s="52" t="s">
        <v>540</v>
      </c>
      <c r="B18" s="117" t="n">
        <f aca="false">B17-B16</f>
        <v>8.42774964986324</v>
      </c>
    </row>
    <row r="19" customFormat="false" ht="15" hidden="false" customHeight="true" outlineLevel="0" collapsed="false">
      <c r="A19" s="52" t="s">
        <v>62</v>
      </c>
      <c r="B19" s="118" t="n">
        <f aca="false">B18/B17</f>
        <v>0.00444220411652079</v>
      </c>
    </row>
    <row r="20" customFormat="false" ht="15" hidden="false" customHeight="true" outlineLevel="0" collapsed="false">
      <c r="A20" s="12" t="s">
        <v>63</v>
      </c>
      <c r="B20" s="118" t="n">
        <f aca="false">(B17-B13)/((B10*(1-Drivers!C36)+B11*Drivers!C36)*B9)</f>
        <v>0.961388985373251</v>
      </c>
    </row>
    <row r="21" customFormat="false" ht="45.75" hidden="false" customHeight="true" outlineLevel="0" collapsed="false">
      <c r="A21" s="36" t="s">
        <v>541</v>
      </c>
      <c r="B21" s="8" t="s">
        <v>542</v>
      </c>
      <c r="C21" s="8"/>
      <c r="D21" s="8"/>
      <c r="E21" s="8"/>
      <c r="F21" s="8"/>
    </row>
    <row r="22" customFormat="false" ht="15" hidden="false" customHeight="true" outlineLevel="0" collapsed="false">
      <c r="A22" s="12"/>
      <c r="B22" s="12"/>
      <c r="C22" s="12"/>
      <c r="D22" s="12"/>
      <c r="E22" s="12"/>
      <c r="F22" s="12"/>
      <c r="G22" s="12"/>
      <c r="H22" s="12"/>
    </row>
    <row r="23" customFormat="false" ht="15" hidden="false" customHeight="true" outlineLevel="0" collapsed="false">
      <c r="A23" s="12"/>
      <c r="B23" s="12"/>
      <c r="C23" s="12"/>
      <c r="D23" s="12"/>
      <c r="E23" s="12"/>
      <c r="F23" s="12"/>
      <c r="G23" s="12"/>
      <c r="H23" s="12"/>
    </row>
    <row r="24" customFormat="false" ht="15" hidden="false" customHeight="true" outlineLevel="0" collapsed="false">
      <c r="A24" s="77" t="s">
        <v>543</v>
      </c>
    </row>
    <row r="25" customFormat="false" ht="42" hidden="false" customHeight="true" outlineLevel="0" collapsed="false">
      <c r="A25" s="119"/>
      <c r="B25" s="120" t="s">
        <v>544</v>
      </c>
      <c r="C25" s="120" t="s">
        <v>545</v>
      </c>
      <c r="D25" s="120" t="s">
        <v>95</v>
      </c>
      <c r="E25" s="120" t="s">
        <v>62</v>
      </c>
      <c r="F25" s="119" t="s">
        <v>541</v>
      </c>
    </row>
    <row r="26" customFormat="false" ht="15" hidden="false" customHeight="true" outlineLevel="0" collapsed="false">
      <c r="A26" s="60" t="s">
        <v>546</v>
      </c>
      <c r="B26" s="121" t="n">
        <v>2283.6</v>
      </c>
      <c r="C26" s="122"/>
      <c r="D26" s="60" t="str">
        <f aca="false">IF(OR(B26="",C26=""),"",C26-B26)</f>
        <v/>
      </c>
      <c r="E26" s="19" t="str">
        <f aca="false">IF(D26="","",D26/ABS(B26))</f>
        <v/>
      </c>
    </row>
    <row r="27" customFormat="false" ht="15" hidden="false" customHeight="true" outlineLevel="0" collapsed="false">
      <c r="A27" s="60" t="s">
        <v>161</v>
      </c>
      <c r="B27" s="123" t="n">
        <v>0.026</v>
      </c>
      <c r="C27" s="124"/>
      <c r="D27" s="60" t="str">
        <f aca="false">IF(OR(B27="",C27=""),"",C27-B27)</f>
        <v/>
      </c>
    </row>
    <row r="28" customFormat="false" ht="15" hidden="false" customHeight="true" outlineLevel="0" collapsed="false">
      <c r="A28" s="60" t="s">
        <v>547</v>
      </c>
      <c r="B28" s="107" t="n">
        <v>2844</v>
      </c>
      <c r="C28" s="125"/>
      <c r="D28" s="60" t="str">
        <f aca="false">IF(OR(B28="",C28=""),"",C28-B28)</f>
        <v/>
      </c>
      <c r="E28" s="19" t="str">
        <f aca="false">IF(D28="","",D28/ABS(B28))</f>
        <v/>
      </c>
    </row>
    <row r="29" customFormat="false" ht="15" hidden="false" customHeight="true" outlineLevel="0" collapsed="false">
      <c r="A29" s="60" t="s">
        <v>548</v>
      </c>
      <c r="B29" s="121" t="n">
        <v>180.2</v>
      </c>
      <c r="C29" s="122"/>
      <c r="D29" s="60" t="str">
        <f aca="false">IF(OR(B29="",C29=""),"",C29-B29)</f>
        <v/>
      </c>
      <c r="E29" s="19" t="str">
        <f aca="false">IF(D29="","",D29/ABS(B29))</f>
        <v/>
      </c>
    </row>
    <row r="30" customFormat="false" ht="15" hidden="false" customHeight="true" outlineLevel="0" collapsed="false">
      <c r="A30" s="26" t="s">
        <v>549</v>
      </c>
      <c r="B30" s="12"/>
      <c r="C30" s="12"/>
      <c r="D30" s="12"/>
      <c r="E30" s="12"/>
      <c r="F30" s="12"/>
      <c r="G30" s="12"/>
      <c r="H30" s="12"/>
    </row>
    <row r="31" customFormat="false" ht="15" hidden="false" customHeight="true" outlineLevel="0" collapsed="false">
      <c r="A31" s="12"/>
      <c r="B31" s="12"/>
      <c r="C31" s="12"/>
      <c r="D31" s="12"/>
      <c r="E31" s="12"/>
      <c r="F31" s="12"/>
      <c r="G31" s="12"/>
      <c r="H31" s="12"/>
    </row>
    <row r="32" customFormat="false" ht="15" hidden="false" customHeight="true" outlineLevel="0" collapsed="false">
      <c r="A32" s="12"/>
      <c r="B32" s="12"/>
      <c r="C32" s="12"/>
      <c r="D32" s="12"/>
      <c r="E32" s="12"/>
      <c r="F32" s="12"/>
      <c r="G32" s="12"/>
      <c r="H32" s="12"/>
    </row>
    <row r="33" customFormat="false" ht="15" hidden="false" customHeight="true" outlineLevel="0" collapsed="false">
      <c r="A33" s="12"/>
      <c r="B33" s="12"/>
      <c r="C33" s="12"/>
      <c r="D33" s="12"/>
      <c r="E33" s="12"/>
      <c r="F33" s="12"/>
      <c r="G33" s="12"/>
      <c r="H33" s="12"/>
    </row>
    <row r="34" customFormat="false" ht="15" hidden="false" customHeight="true" outlineLevel="0" collapsed="false">
      <c r="A34" s="12"/>
      <c r="B34" s="12"/>
      <c r="C34" s="12"/>
      <c r="D34" s="12"/>
      <c r="E34" s="12"/>
      <c r="F34" s="12"/>
      <c r="G34" s="12"/>
      <c r="H34" s="12"/>
    </row>
    <row r="35" customFormat="false" ht="15" hidden="false" customHeight="true" outlineLevel="0" collapsed="false">
      <c r="A35" s="12"/>
      <c r="B35" s="12"/>
      <c r="C35" s="12"/>
      <c r="D35" s="12"/>
      <c r="E35" s="12"/>
      <c r="F35" s="12"/>
      <c r="G35" s="12"/>
      <c r="H35" s="12"/>
    </row>
    <row r="36" customFormat="false" ht="15" hidden="false" customHeight="true" outlineLevel="0" collapsed="false">
      <c r="A36" s="12"/>
      <c r="B36" s="12"/>
      <c r="C36" s="12"/>
      <c r="D36" s="12"/>
      <c r="E36" s="12"/>
      <c r="F36" s="12"/>
      <c r="G36" s="12"/>
      <c r="H36" s="12"/>
    </row>
    <row r="37" customFormat="false" ht="15" hidden="false" customHeight="true" outlineLevel="0" collapsed="false">
      <c r="A37" s="12"/>
      <c r="B37" s="12"/>
      <c r="C37" s="12"/>
      <c r="D37" s="12"/>
      <c r="E37" s="12"/>
      <c r="F37" s="12"/>
      <c r="G37" s="12"/>
      <c r="H37" s="12"/>
    </row>
    <row r="38" customFormat="false" ht="15" hidden="false" customHeight="true" outlineLevel="0" collapsed="false">
      <c r="A38" s="12"/>
      <c r="B38" s="12"/>
      <c r="C38" s="12"/>
      <c r="D38" s="12"/>
      <c r="E38" s="12"/>
      <c r="F38" s="12"/>
      <c r="G38" s="12"/>
      <c r="H38" s="12"/>
    </row>
    <row r="39" customFormat="false" ht="15" hidden="false" customHeight="true" outlineLevel="0" collapsed="false">
      <c r="A39" s="12"/>
      <c r="B39" s="12"/>
      <c r="C39" s="12"/>
      <c r="D39" s="12"/>
      <c r="E39" s="12"/>
      <c r="F39" s="12"/>
      <c r="G39" s="12"/>
      <c r="H39" s="12"/>
    </row>
    <row r="40" customFormat="false" ht="15" hidden="false" customHeight="true" outlineLevel="0" collapsed="false">
      <c r="A40" s="12"/>
      <c r="B40" s="12"/>
      <c r="C40" s="12"/>
      <c r="D40" s="12"/>
      <c r="E40" s="12"/>
      <c r="F40" s="12"/>
      <c r="G40" s="12"/>
      <c r="H40" s="12"/>
    </row>
    <row r="41" customFormat="false" ht="15" hidden="false" customHeight="true" outlineLevel="0" collapsed="false">
      <c r="A41" s="12"/>
      <c r="B41" s="12"/>
      <c r="C41" s="12"/>
      <c r="D41" s="12"/>
      <c r="E41" s="12"/>
      <c r="F41" s="12"/>
      <c r="G41" s="12"/>
      <c r="H41" s="12"/>
    </row>
    <row r="42" customFormat="false" ht="15" hidden="false" customHeight="true" outlineLevel="0" collapsed="false">
      <c r="A42" s="12"/>
      <c r="B42" s="12"/>
      <c r="C42" s="12"/>
      <c r="D42" s="12"/>
      <c r="E42" s="12"/>
      <c r="F42" s="12"/>
      <c r="G42" s="12"/>
      <c r="H42" s="12"/>
    </row>
    <row r="43" customFormat="false" ht="15" hidden="false" customHeight="true" outlineLevel="0" collapsed="false">
      <c r="A43" s="12"/>
      <c r="B43" s="12"/>
      <c r="C43" s="12"/>
      <c r="D43" s="12"/>
      <c r="E43" s="12"/>
      <c r="F43" s="12"/>
      <c r="G43" s="12"/>
      <c r="H43" s="12"/>
    </row>
    <row r="44" customFormat="false" ht="15" hidden="false" customHeight="true" outlineLevel="0" collapsed="false">
      <c r="A44" s="12"/>
      <c r="B44" s="12"/>
      <c r="C44" s="12"/>
      <c r="D44" s="12"/>
      <c r="E44" s="12"/>
      <c r="F44" s="12"/>
      <c r="G44" s="12"/>
      <c r="H44" s="12"/>
    </row>
    <row r="45" customFormat="false" ht="15" hidden="false" customHeight="true" outlineLevel="0" collapsed="false">
      <c r="A45" s="12"/>
      <c r="B45" s="12"/>
      <c r="C45" s="12"/>
      <c r="D45" s="12"/>
      <c r="E45" s="12"/>
      <c r="F45" s="12"/>
      <c r="G45" s="12"/>
      <c r="H45" s="12"/>
    </row>
    <row r="46" customFormat="false" ht="15" hidden="false" customHeight="true" outlineLevel="0" collapsed="false">
      <c r="A46" s="12"/>
      <c r="B46" s="12"/>
      <c r="C46" s="12"/>
      <c r="D46" s="12"/>
      <c r="E46" s="12"/>
      <c r="F46" s="12"/>
      <c r="G46" s="12"/>
      <c r="H46" s="12"/>
    </row>
    <row r="47" customFormat="false" ht="15" hidden="false" customHeight="true" outlineLevel="0" collapsed="false">
      <c r="A47" s="12"/>
      <c r="B47" s="12"/>
      <c r="C47" s="12"/>
      <c r="D47" s="12"/>
      <c r="E47" s="12"/>
      <c r="F47" s="12"/>
      <c r="G47" s="12"/>
      <c r="H47" s="12"/>
    </row>
    <row r="48" customFormat="false" ht="15" hidden="false" customHeight="true" outlineLevel="0" collapsed="false">
      <c r="A48" s="12"/>
      <c r="B48" s="12"/>
      <c r="C48" s="12"/>
      <c r="D48" s="12"/>
      <c r="E48" s="12"/>
      <c r="F48" s="12"/>
      <c r="G48" s="12"/>
      <c r="H48" s="12"/>
    </row>
    <row r="49" customFormat="false" ht="15" hidden="false" customHeight="true" outlineLevel="0" collapsed="false">
      <c r="A49" s="12"/>
      <c r="B49" s="12"/>
      <c r="C49" s="12"/>
      <c r="D49" s="12"/>
      <c r="E49" s="12"/>
      <c r="F49" s="12"/>
      <c r="G49" s="12"/>
      <c r="H49" s="12"/>
    </row>
    <row r="50" customFormat="false" ht="15" hidden="false" customHeight="true" outlineLevel="0" collapsed="false">
      <c r="A50" s="12"/>
      <c r="B50" s="12"/>
      <c r="C50" s="12"/>
      <c r="D50" s="12"/>
      <c r="E50" s="12"/>
      <c r="F50" s="12"/>
      <c r="G50" s="12"/>
      <c r="H50" s="12"/>
    </row>
    <row r="51" customFormat="false" ht="15" hidden="false" customHeight="true" outlineLevel="0" collapsed="false">
      <c r="A51" s="12"/>
      <c r="B51" s="12"/>
      <c r="C51" s="12"/>
      <c r="D51" s="12"/>
      <c r="E51" s="12"/>
      <c r="F51" s="12"/>
      <c r="G51" s="12"/>
      <c r="H51" s="12"/>
    </row>
    <row r="52" customFormat="false" ht="15" hidden="false" customHeight="true" outlineLevel="0" collapsed="false">
      <c r="A52" s="12"/>
      <c r="B52" s="12"/>
      <c r="C52" s="12"/>
      <c r="D52" s="12"/>
      <c r="E52" s="12"/>
      <c r="F52" s="12"/>
      <c r="G52" s="12"/>
      <c r="H52" s="12"/>
    </row>
    <row r="53" customFormat="false" ht="15" hidden="false" customHeight="true" outlineLevel="0" collapsed="false">
      <c r="A53" s="12"/>
      <c r="B53" s="12"/>
      <c r="C53" s="12"/>
      <c r="D53" s="12"/>
      <c r="E53" s="12"/>
      <c r="F53" s="12"/>
      <c r="G53" s="12"/>
      <c r="H53" s="12"/>
    </row>
    <row r="54" customFormat="false" ht="15" hidden="false" customHeight="true" outlineLevel="0" collapsed="false">
      <c r="A54" s="12"/>
      <c r="B54" s="12"/>
      <c r="C54" s="12"/>
      <c r="D54" s="12"/>
      <c r="E54" s="12"/>
      <c r="F54" s="12"/>
      <c r="G54" s="12"/>
      <c r="H54" s="12"/>
    </row>
    <row r="55" customFormat="false" ht="15" hidden="false" customHeight="true" outlineLevel="0" collapsed="false">
      <c r="A55" s="12"/>
      <c r="B55" s="12"/>
      <c r="C55" s="12"/>
      <c r="D55" s="12"/>
      <c r="E55" s="12"/>
      <c r="F55" s="12"/>
      <c r="G55" s="12"/>
      <c r="H55" s="12"/>
    </row>
    <row r="56" customFormat="false" ht="15" hidden="false" customHeight="true" outlineLevel="0" collapsed="false">
      <c r="A56" s="12"/>
      <c r="B56" s="12"/>
      <c r="C56" s="12"/>
      <c r="D56" s="12"/>
      <c r="E56" s="12"/>
      <c r="F56" s="12"/>
      <c r="G56" s="12"/>
      <c r="H56" s="12"/>
    </row>
    <row r="57" customFormat="false" ht="15" hidden="false" customHeight="true" outlineLevel="0" collapsed="false">
      <c r="A57" s="12"/>
      <c r="B57" s="12"/>
      <c r="C57" s="12"/>
      <c r="D57" s="12"/>
      <c r="E57" s="12"/>
      <c r="F57" s="12"/>
      <c r="G57" s="12"/>
      <c r="H57" s="12"/>
    </row>
    <row r="58" customFormat="false" ht="15" hidden="false" customHeight="true" outlineLevel="0" collapsed="false">
      <c r="A58" s="12"/>
      <c r="B58" s="12"/>
      <c r="C58" s="12"/>
      <c r="D58" s="12"/>
      <c r="E58" s="12"/>
      <c r="F58" s="12"/>
      <c r="G58" s="12"/>
      <c r="H58" s="12"/>
    </row>
    <row r="59" customFormat="false" ht="15" hidden="false" customHeight="true" outlineLevel="0" collapsed="false">
      <c r="A59" s="12"/>
      <c r="B59" s="12"/>
      <c r="C59" s="12"/>
      <c r="D59" s="12"/>
      <c r="E59" s="12"/>
      <c r="F59" s="12"/>
      <c r="G59" s="12"/>
      <c r="H59" s="12"/>
    </row>
  </sheetData>
  <mergeCells count="3">
    <mergeCell ref="A2:F2"/>
    <mergeCell ref="A5:F5"/>
    <mergeCell ref="B21:F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6796875" defaultRowHeight="15" zeroHeight="false" outlineLevelRow="0" outlineLevelCol="0"/>
  <cols>
    <col collapsed="false" customWidth="true" hidden="false" outlineLevel="0" max="1" min="1" style="1" width="52"/>
    <col collapsed="false" customWidth="true" hidden="false" outlineLevel="0" max="2" min="2" style="1" width="50"/>
    <col collapsed="false" customWidth="true" hidden="false" outlineLevel="0" max="7" min="3" style="1" width="17"/>
  </cols>
  <sheetData>
    <row r="1" customFormat="false" ht="21.75" hidden="false" customHeight="true" outlineLevel="0" collapsed="false">
      <c r="A1" s="2" t="s">
        <v>550</v>
      </c>
    </row>
    <row r="2" customFormat="false" ht="28.5" hidden="false" customHeight="true" outlineLevel="0" collapsed="false">
      <c r="A2" s="3" t="s">
        <v>551</v>
      </c>
      <c r="B2" s="3"/>
      <c r="C2" s="3"/>
      <c r="D2" s="3"/>
      <c r="E2" s="3"/>
      <c r="F2" s="3"/>
      <c r="G2" s="3"/>
    </row>
    <row r="4" customFormat="false" ht="15" hidden="false" customHeight="true" outlineLevel="0" collapsed="false">
      <c r="A4" s="58" t="s">
        <v>552</v>
      </c>
      <c r="B4" s="59"/>
      <c r="C4" s="59"/>
      <c r="D4" s="59"/>
      <c r="E4" s="59"/>
      <c r="F4" s="59"/>
      <c r="G4" s="59"/>
    </row>
    <row r="5" customFormat="false" ht="15" hidden="false" customHeight="true" outlineLevel="0" collapsed="false">
      <c r="A5" s="54" t="s">
        <v>30</v>
      </c>
      <c r="B5" s="54" t="s">
        <v>553</v>
      </c>
      <c r="C5" s="55" t="s">
        <v>201</v>
      </c>
      <c r="D5" s="55" t="s">
        <v>202</v>
      </c>
      <c r="E5" s="55" t="s">
        <v>203</v>
      </c>
      <c r="F5" s="55" t="s">
        <v>204</v>
      </c>
      <c r="G5" s="55" t="s">
        <v>205</v>
      </c>
    </row>
    <row r="6" customFormat="false" ht="15" hidden="false" customHeight="true" outlineLevel="0" collapsed="false">
      <c r="A6" s="60" t="s">
        <v>224</v>
      </c>
      <c r="B6" s="56" t="s">
        <v>86</v>
      </c>
      <c r="C6" s="76" t="n">
        <f aca="false">Historical!C16</f>
        <v>145.6</v>
      </c>
      <c r="D6" s="76" t="n">
        <f aca="false">Historical!D16</f>
        <v>148.3</v>
      </c>
      <c r="E6" s="76" t="n">
        <f aca="false">Historical!E16</f>
        <v>188.3</v>
      </c>
      <c r="F6" s="76" t="n">
        <f aca="false">Historical!F16</f>
        <v>203.9</v>
      </c>
      <c r="G6" s="76" t="n">
        <f aca="false">Historical!G16</f>
        <v>167.4</v>
      </c>
    </row>
    <row r="7" customFormat="false" ht="15" hidden="false" customHeight="true" outlineLevel="0" collapsed="false">
      <c r="A7" s="60" t="s">
        <v>554</v>
      </c>
      <c r="B7" s="56" t="s">
        <v>555</v>
      </c>
      <c r="C7" s="68" t="n">
        <v>0.19</v>
      </c>
      <c r="D7" s="68" t="n">
        <v>0.19</v>
      </c>
      <c r="E7" s="68" t="n">
        <v>0.235</v>
      </c>
      <c r="F7" s="68" t="n">
        <v>0.25</v>
      </c>
      <c r="G7" s="68" t="n">
        <v>0.25</v>
      </c>
    </row>
    <row r="8" customFormat="false" ht="15" hidden="false" customHeight="true" outlineLevel="0" collapsed="false">
      <c r="A8" s="60" t="s">
        <v>556</v>
      </c>
      <c r="B8" s="56" t="s">
        <v>216</v>
      </c>
      <c r="C8" s="65" t="n">
        <f aca="false">-C6*C7</f>
        <v>-27.664</v>
      </c>
      <c r="D8" s="65" t="n">
        <f aca="false">-D6*D7</f>
        <v>-28.177</v>
      </c>
      <c r="E8" s="65" t="n">
        <f aca="false">-E6*E7</f>
        <v>-44.2505</v>
      </c>
      <c r="F8" s="65" t="n">
        <f aca="false">-F6*F7</f>
        <v>-50.975</v>
      </c>
      <c r="G8" s="65" t="n">
        <f aca="false">-G6*G7</f>
        <v>-41.85</v>
      </c>
    </row>
    <row r="9" customFormat="false" ht="15" hidden="false" customHeight="true" outlineLevel="0" collapsed="false">
      <c r="A9" s="60" t="s">
        <v>557</v>
      </c>
      <c r="B9" s="56" t="s">
        <v>558</v>
      </c>
      <c r="C9" s="126" t="n">
        <v>2.8</v>
      </c>
      <c r="D9" s="126" t="n">
        <v>4.3</v>
      </c>
      <c r="E9" s="126" t="n">
        <v>1</v>
      </c>
      <c r="F9" s="126" t="n">
        <v>1.8</v>
      </c>
      <c r="G9" s="126" t="n">
        <v>-2.3</v>
      </c>
    </row>
    <row r="10" customFormat="false" ht="15" hidden="false" customHeight="true" outlineLevel="0" collapsed="false">
      <c r="A10" s="60" t="s">
        <v>559</v>
      </c>
      <c r="C10" s="126" t="n">
        <v>-1</v>
      </c>
      <c r="D10" s="126" t="n">
        <v>-1</v>
      </c>
      <c r="E10" s="126" t="n">
        <v>-1.1</v>
      </c>
      <c r="F10" s="126" t="n">
        <v>-1.1</v>
      </c>
      <c r="G10" s="126" t="n">
        <v>-1.1</v>
      </c>
    </row>
    <row r="11" customFormat="false" ht="15" hidden="false" customHeight="true" outlineLevel="0" collapsed="false">
      <c r="A11" s="60" t="s">
        <v>560</v>
      </c>
      <c r="C11" s="126" t="n">
        <v>-3.6</v>
      </c>
      <c r="D11" s="126" t="n">
        <v>-3.4</v>
      </c>
      <c r="E11" s="126" t="n">
        <v>-1.7</v>
      </c>
      <c r="F11" s="126" t="n">
        <v>0</v>
      </c>
      <c r="G11" s="126" t="n">
        <v>0</v>
      </c>
    </row>
    <row r="12" customFormat="false" ht="15" hidden="false" customHeight="true" outlineLevel="0" collapsed="false">
      <c r="A12" s="60" t="s">
        <v>561</v>
      </c>
      <c r="C12" s="126" t="n">
        <v>1.2</v>
      </c>
      <c r="D12" s="126" t="n">
        <v>0.2</v>
      </c>
      <c r="E12" s="126" t="n">
        <v>0.2</v>
      </c>
      <c r="F12" s="126" t="n">
        <v>-0.2</v>
      </c>
      <c r="G12" s="126" t="n">
        <v>0.1</v>
      </c>
    </row>
    <row r="13" customFormat="false" ht="15" hidden="false" customHeight="true" outlineLevel="0" collapsed="false">
      <c r="A13" s="60" t="s">
        <v>562</v>
      </c>
      <c r="C13" s="126" t="n">
        <v>0.2</v>
      </c>
      <c r="D13" s="126" t="n">
        <v>0</v>
      </c>
      <c r="E13" s="126" t="n">
        <v>0</v>
      </c>
      <c r="F13" s="126" t="n">
        <v>0</v>
      </c>
      <c r="G13" s="126" t="n">
        <v>0</v>
      </c>
    </row>
    <row r="14" customFormat="false" ht="15" hidden="false" customHeight="true" outlineLevel="0" collapsed="false">
      <c r="A14" s="62" t="s">
        <v>563</v>
      </c>
      <c r="B14" s="56" t="s">
        <v>216</v>
      </c>
      <c r="C14" s="63" t="n">
        <f aca="false">SUM(C8:C13)</f>
        <v>-28.064</v>
      </c>
      <c r="D14" s="63" t="n">
        <f aca="false">SUM(D8:D13)</f>
        <v>-28.077</v>
      </c>
      <c r="E14" s="63" t="n">
        <f aca="false">SUM(E8:E13)</f>
        <v>-45.8505</v>
      </c>
      <c r="F14" s="63" t="n">
        <f aca="false">SUM(F8:F13)</f>
        <v>-50.475</v>
      </c>
      <c r="G14" s="63" t="n">
        <f aca="false">SUM(G8:G13)</f>
        <v>-45.15</v>
      </c>
    </row>
    <row r="15" customFormat="false" ht="15" hidden="false" customHeight="true" outlineLevel="0" collapsed="false">
      <c r="A15" s="60" t="s">
        <v>564</v>
      </c>
      <c r="B15" s="56" t="s">
        <v>86</v>
      </c>
      <c r="C15" s="76" t="n">
        <f aca="false">Historical!C17</f>
        <v>-28.1</v>
      </c>
      <c r="D15" s="76" t="n">
        <f aca="false">Historical!D17</f>
        <v>-28</v>
      </c>
      <c r="E15" s="76" t="n">
        <f aca="false">Historical!E17</f>
        <v>-45.8</v>
      </c>
      <c r="F15" s="76" t="n">
        <f aca="false">Historical!F17</f>
        <v>-50.5</v>
      </c>
      <c r="G15" s="76" t="n">
        <f aca="false">Historical!G17</f>
        <v>-45.2</v>
      </c>
    </row>
    <row r="16" customFormat="false" ht="15" hidden="false" customHeight="true" outlineLevel="0" collapsed="false">
      <c r="A16" s="60" t="s">
        <v>565</v>
      </c>
      <c r="B16" s="56" t="s">
        <v>216</v>
      </c>
      <c r="C16" s="65" t="n">
        <f aca="false">C14-C15</f>
        <v>0.0360000000000049</v>
      </c>
      <c r="D16" s="65" t="n">
        <f aca="false">D14-D15</f>
        <v>-0.076999999999984</v>
      </c>
      <c r="E16" s="65" t="n">
        <f aca="false">E14-E15</f>
        <v>-0.0504999999999711</v>
      </c>
      <c r="F16" s="65" t="n">
        <f aca="false">F14-F15</f>
        <v>0.0249999999999702</v>
      </c>
      <c r="G16" s="65" t="n">
        <f aca="false">G14-G15</f>
        <v>0.0500000000000114</v>
      </c>
    </row>
    <row r="17" customFormat="false" ht="15" hidden="false" customHeight="true" outlineLevel="0" collapsed="false">
      <c r="A17" s="60" t="s">
        <v>566</v>
      </c>
      <c r="B17" s="56" t="s">
        <v>216</v>
      </c>
      <c r="C17" s="64" t="n">
        <f aca="false">IF(C6=0,0,-C15/C6)</f>
        <v>0.192994505494506</v>
      </c>
      <c r="D17" s="64" t="n">
        <f aca="false">IF(D6=0,0,-D15/D6)</f>
        <v>0.188806473364801</v>
      </c>
      <c r="E17" s="64" t="n">
        <f aca="false">IF(E6=0,0,-E15/E6)</f>
        <v>0.243228890069039</v>
      </c>
      <c r="F17" s="64" t="n">
        <f aca="false">IF(F6=0,0,-F15/F6)</f>
        <v>0.247670426679745</v>
      </c>
      <c r="G17" s="64" t="n">
        <f aca="false">IF(G6=0,0,-G15/G6)</f>
        <v>0.270011947431302</v>
      </c>
    </row>
    <row r="18" customFormat="false" ht="15" hidden="false" customHeight="true" outlineLevel="0" collapsed="false">
      <c r="A18" s="60" t="s">
        <v>567</v>
      </c>
      <c r="B18" s="56" t="s">
        <v>568</v>
      </c>
      <c r="C18" s="64" t="n">
        <f aca="false">C17-C7</f>
        <v>0.0029945054945055</v>
      </c>
      <c r="D18" s="64" t="n">
        <f aca="false">D17-D7</f>
        <v>-0.00119352663519884</v>
      </c>
      <c r="E18" s="64" t="n">
        <f aca="false">E17-E7</f>
        <v>0.00822889006903893</v>
      </c>
      <c r="F18" s="64" t="n">
        <f aca="false">F17-F7</f>
        <v>-0.00232957332025519</v>
      </c>
      <c r="G18" s="64" t="n">
        <f aca="false">G17-G7</f>
        <v>0.0200119474313023</v>
      </c>
    </row>
    <row r="20" customFormat="false" ht="15" hidden="false" customHeight="true" outlineLevel="0" collapsed="false">
      <c r="A20" s="58" t="s">
        <v>569</v>
      </c>
      <c r="B20" s="59"/>
      <c r="C20" s="59"/>
      <c r="D20" s="59"/>
      <c r="E20" s="59"/>
      <c r="F20" s="59"/>
      <c r="G20" s="59"/>
    </row>
    <row r="21" customFormat="false" ht="15" hidden="false" customHeight="true" outlineLevel="0" collapsed="false">
      <c r="A21" s="54" t="s">
        <v>30</v>
      </c>
      <c r="B21" s="54" t="s">
        <v>553</v>
      </c>
      <c r="C21" s="55" t="s">
        <v>201</v>
      </c>
      <c r="D21" s="55" t="s">
        <v>202</v>
      </c>
      <c r="E21" s="55" t="s">
        <v>203</v>
      </c>
      <c r="F21" s="55" t="s">
        <v>204</v>
      </c>
      <c r="G21" s="55" t="s">
        <v>205</v>
      </c>
    </row>
    <row r="22" customFormat="false" ht="15" hidden="false" customHeight="true" outlineLevel="0" collapsed="false">
      <c r="A22" s="60" t="s">
        <v>570</v>
      </c>
      <c r="B22" s="56" t="s">
        <v>571</v>
      </c>
      <c r="C22" s="126" t="n">
        <v>-18.9</v>
      </c>
      <c r="D22" s="126" t="n">
        <v>-13.9</v>
      </c>
      <c r="E22" s="126" t="n">
        <v>-17.7</v>
      </c>
      <c r="F22" s="126" t="n">
        <v>-33.4</v>
      </c>
      <c r="G22" s="126" t="n">
        <v>-24.8</v>
      </c>
    </row>
    <row r="23" customFormat="false" ht="15" hidden="false" customHeight="true" outlineLevel="0" collapsed="false">
      <c r="A23" s="60" t="s">
        <v>572</v>
      </c>
      <c r="B23" s="56" t="s">
        <v>573</v>
      </c>
      <c r="C23" s="126" t="n">
        <v>-9.2</v>
      </c>
      <c r="D23" s="126" t="n">
        <v>-14.1</v>
      </c>
      <c r="E23" s="126" t="n">
        <v>-28.1</v>
      </c>
      <c r="F23" s="126" t="n">
        <v>-17.1</v>
      </c>
      <c r="G23" s="126" t="n">
        <v>-20.4</v>
      </c>
    </row>
    <row r="24" customFormat="false" ht="15" hidden="false" customHeight="true" outlineLevel="0" collapsed="false">
      <c r="A24" s="62" t="s">
        <v>574</v>
      </c>
      <c r="B24" s="56" t="s">
        <v>216</v>
      </c>
      <c r="C24" s="63" t="n">
        <f aca="false">C22+C23</f>
        <v>-28.1</v>
      </c>
      <c r="D24" s="63" t="n">
        <f aca="false">D22+D23</f>
        <v>-28</v>
      </c>
      <c r="E24" s="63" t="n">
        <f aca="false">E22+E23</f>
        <v>-45.8</v>
      </c>
      <c r="F24" s="63" t="n">
        <f aca="false">F22+F23</f>
        <v>-50.5</v>
      </c>
      <c r="G24" s="63" t="n">
        <f aca="false">G22+G23</f>
        <v>-45.2</v>
      </c>
    </row>
    <row r="25" customFormat="false" ht="15" hidden="false" customHeight="true" outlineLevel="0" collapsed="false">
      <c r="A25" s="60" t="s">
        <v>575</v>
      </c>
      <c r="B25" s="56" t="s">
        <v>216</v>
      </c>
      <c r="C25" s="65" t="n">
        <f aca="false">C24-Historical!C17</f>
        <v>0</v>
      </c>
      <c r="D25" s="65" t="n">
        <f aca="false">D24-Historical!D17</f>
        <v>0</v>
      </c>
      <c r="E25" s="65" t="n">
        <f aca="false">E24-Historical!E17</f>
        <v>0</v>
      </c>
      <c r="F25" s="65" t="n">
        <f aca="false">F24-Historical!F17</f>
        <v>0</v>
      </c>
      <c r="G25" s="65" t="n">
        <f aca="false">G24-Historical!G17</f>
        <v>0</v>
      </c>
    </row>
    <row r="26" customFormat="false" ht="15" hidden="false" customHeight="true" outlineLevel="0" collapsed="false">
      <c r="A26" s="60" t="s">
        <v>576</v>
      </c>
      <c r="B26" s="56" t="s">
        <v>577</v>
      </c>
      <c r="C26" s="76" t="n">
        <f aca="false">Historical!C93</f>
        <v>-19.2</v>
      </c>
      <c r="D26" s="76" t="n">
        <f aca="false">Historical!D93</f>
        <v>-13.3</v>
      </c>
      <c r="E26" s="76" t="n">
        <f aca="false">Historical!E93</f>
        <v>-11.9</v>
      </c>
      <c r="F26" s="76" t="n">
        <f aca="false">Historical!F93</f>
        <v>-27.7</v>
      </c>
      <c r="G26" s="76" t="n">
        <f aca="false">Historical!G93</f>
        <v>-31.5</v>
      </c>
    </row>
    <row r="28" customFormat="false" ht="15" hidden="false" customHeight="true" outlineLevel="0" collapsed="false">
      <c r="A28" s="58" t="s">
        <v>578</v>
      </c>
      <c r="B28" s="59"/>
      <c r="C28" s="59"/>
      <c r="D28" s="59"/>
      <c r="E28" s="59"/>
      <c r="F28" s="59"/>
      <c r="G28" s="59"/>
    </row>
    <row r="29" customFormat="false" ht="15" hidden="false" customHeight="true" outlineLevel="0" collapsed="false">
      <c r="A29" s="54" t="s">
        <v>30</v>
      </c>
      <c r="B29" s="54" t="s">
        <v>553</v>
      </c>
      <c r="C29" s="55" t="s">
        <v>201</v>
      </c>
      <c r="D29" s="55" t="s">
        <v>202</v>
      </c>
      <c r="E29" s="55" t="s">
        <v>203</v>
      </c>
      <c r="F29" s="55" t="s">
        <v>204</v>
      </c>
      <c r="G29" s="55" t="s">
        <v>205</v>
      </c>
    </row>
    <row r="30" customFormat="false" ht="15" hidden="false" customHeight="true" outlineLevel="0" collapsed="false">
      <c r="A30" s="60" t="s">
        <v>579</v>
      </c>
      <c r="B30" s="56" t="s">
        <v>580</v>
      </c>
      <c r="C30" s="126" t="n">
        <v>2.3</v>
      </c>
      <c r="D30" s="65" t="n">
        <f aca="false">C34</f>
        <v>10</v>
      </c>
      <c r="E30" s="65" t="n">
        <f aca="false">D34</f>
        <v>26.3</v>
      </c>
      <c r="F30" s="65" t="n">
        <f aca="false">E34</f>
        <v>54.7</v>
      </c>
      <c r="G30" s="65" t="n">
        <f aca="false">F34</f>
        <v>72.6</v>
      </c>
    </row>
    <row r="31" customFormat="false" ht="15" hidden="false" customHeight="true" outlineLevel="0" collapsed="false">
      <c r="A31" s="60" t="s">
        <v>581</v>
      </c>
      <c r="B31" s="56" t="s">
        <v>582</v>
      </c>
      <c r="C31" s="126" t="n">
        <v>9.2</v>
      </c>
      <c r="D31" s="126" t="n">
        <v>14.1</v>
      </c>
      <c r="E31" s="126" t="n">
        <v>28.1</v>
      </c>
      <c r="F31" s="126" t="n">
        <v>17.1</v>
      </c>
      <c r="G31" s="126" t="n">
        <v>20.4</v>
      </c>
    </row>
    <row r="32" customFormat="false" ht="15" hidden="false" customHeight="true" outlineLevel="0" collapsed="false">
      <c r="A32" s="60" t="s">
        <v>583</v>
      </c>
      <c r="B32" s="56" t="s">
        <v>584</v>
      </c>
      <c r="C32" s="126" t="n">
        <v>0</v>
      </c>
      <c r="D32" s="126" t="n">
        <v>0</v>
      </c>
      <c r="E32" s="126" t="n">
        <v>0</v>
      </c>
      <c r="F32" s="126" t="n">
        <v>0</v>
      </c>
      <c r="G32" s="126" t="n">
        <v>0</v>
      </c>
    </row>
    <row r="33" customFormat="false" ht="15" hidden="false" customHeight="true" outlineLevel="0" collapsed="false">
      <c r="A33" s="60" t="s">
        <v>585</v>
      </c>
      <c r="B33" s="56" t="s">
        <v>586</v>
      </c>
      <c r="C33" s="126" t="n">
        <v>-1.5</v>
      </c>
      <c r="D33" s="126" t="n">
        <v>2.2</v>
      </c>
      <c r="E33" s="126" t="n">
        <v>0.3</v>
      </c>
      <c r="F33" s="126" t="n">
        <v>0.8</v>
      </c>
      <c r="G33" s="126" t="n">
        <v>0.7</v>
      </c>
    </row>
    <row r="34" customFormat="false" ht="15" hidden="false" customHeight="true" outlineLevel="0" collapsed="false">
      <c r="A34" s="62" t="s">
        <v>587</v>
      </c>
      <c r="B34" s="56" t="s">
        <v>216</v>
      </c>
      <c r="C34" s="63" t="n">
        <f aca="false">SUM(C30:C33)</f>
        <v>10</v>
      </c>
      <c r="D34" s="63" t="n">
        <f aca="false">SUM(D30:D33)</f>
        <v>26.3</v>
      </c>
      <c r="E34" s="63" t="n">
        <f aca="false">SUM(E30:E33)</f>
        <v>54.7</v>
      </c>
      <c r="F34" s="63" t="n">
        <f aca="false">SUM(F30:F33)</f>
        <v>72.6</v>
      </c>
      <c r="G34" s="63" t="n">
        <f aca="false">SUM(G30:G33)</f>
        <v>93.7</v>
      </c>
    </row>
    <row r="35" customFormat="false" ht="15" hidden="false" customHeight="true" outlineLevel="0" collapsed="false">
      <c r="A35" s="60" t="s">
        <v>588</v>
      </c>
      <c r="B35" s="56" t="s">
        <v>86</v>
      </c>
      <c r="C35" s="76" t="n">
        <f aca="false">-Historical!C72</f>
        <v>10</v>
      </c>
      <c r="D35" s="76" t="n">
        <f aca="false">-Historical!D72</f>
        <v>26.3</v>
      </c>
      <c r="E35" s="76" t="n">
        <f aca="false">-Historical!E72</f>
        <v>54.7</v>
      </c>
      <c r="F35" s="76" t="n">
        <f aca="false">-Historical!F72</f>
        <v>72.6</v>
      </c>
      <c r="G35" s="76" t="n">
        <f aca="false">-Historical!G72</f>
        <v>93.7</v>
      </c>
    </row>
    <row r="36" customFormat="false" ht="15" hidden="false" customHeight="true" outlineLevel="0" collapsed="false">
      <c r="A36" s="60" t="s">
        <v>565</v>
      </c>
      <c r="B36" s="56" t="s">
        <v>216</v>
      </c>
      <c r="C36" s="65" t="n">
        <f aca="false">C34-C35</f>
        <v>0</v>
      </c>
      <c r="D36" s="65" t="n">
        <f aca="false">D34-D35</f>
        <v>0</v>
      </c>
      <c r="E36" s="65" t="n">
        <f aca="false">E34-E35</f>
        <v>0</v>
      </c>
      <c r="F36" s="65" t="n">
        <f aca="false">F34-F35</f>
        <v>0</v>
      </c>
      <c r="G36" s="65" t="n">
        <f aca="false">G34-G35</f>
        <v>0</v>
      </c>
    </row>
    <row r="38" customFormat="false" ht="15" hidden="false" customHeight="true" outlineLevel="0" collapsed="false">
      <c r="A38" s="60" t="s">
        <v>589</v>
      </c>
      <c r="B38" s="56" t="s">
        <v>86</v>
      </c>
      <c r="C38" s="76" t="n">
        <f aca="false">-Historical!C117</f>
        <v>54.3</v>
      </c>
      <c r="D38" s="76" t="n">
        <f aca="false">-Historical!D117</f>
        <v>103.3</v>
      </c>
      <c r="E38" s="76" t="n">
        <f aca="false">-Historical!E117</f>
        <v>198.1</v>
      </c>
      <c r="F38" s="76" t="n">
        <f aca="false">-Historical!F117</f>
        <v>240.9</v>
      </c>
      <c r="G38" s="76" t="n">
        <f aca="false">-Historical!G117</f>
        <v>285.4</v>
      </c>
    </row>
    <row r="39" customFormat="false" ht="15" hidden="false" customHeight="true" outlineLevel="0" collapsed="false">
      <c r="A39" s="60" t="s">
        <v>590</v>
      </c>
      <c r="B39" s="56" t="s">
        <v>86</v>
      </c>
      <c r="C39" s="76" t="n">
        <f aca="false">Historical!C123+Historical!C122</f>
        <v>58.7</v>
      </c>
      <c r="D39" s="76" t="n">
        <f aca="false">Historical!D123+Historical!D122</f>
        <v>62.7</v>
      </c>
      <c r="E39" s="76" t="n">
        <f aca="false">Historical!E123+Historical!E122</f>
        <v>70.5</v>
      </c>
      <c r="F39" s="76" t="n">
        <f aca="false">Historical!F123+Historical!F122</f>
        <v>80.8</v>
      </c>
      <c r="G39" s="76" t="n">
        <f aca="false">Historical!G123+Historical!G122</f>
        <v>95.4</v>
      </c>
    </row>
    <row r="40" customFormat="false" ht="15" hidden="false" customHeight="true" outlineLevel="0" collapsed="false">
      <c r="A40" s="62" t="s">
        <v>591</v>
      </c>
      <c r="B40" s="56" t="s">
        <v>216</v>
      </c>
      <c r="C40" s="63" t="n">
        <f aca="false">C38-C39</f>
        <v>-4.40000000000001</v>
      </c>
      <c r="D40" s="63" t="n">
        <f aca="false">D38-D39</f>
        <v>40.6</v>
      </c>
      <c r="E40" s="63" t="n">
        <f aca="false">E38-E39</f>
        <v>127.6</v>
      </c>
      <c r="F40" s="63" t="n">
        <f aca="false">F38-F39</f>
        <v>160.1</v>
      </c>
      <c r="G40" s="63" t="n">
        <f aca="false">G38-G39</f>
        <v>190</v>
      </c>
    </row>
    <row r="43" customFormat="false" ht="18" hidden="false" customHeight="true" outlineLevel="0" collapsed="false">
      <c r="A43" s="111" t="s">
        <v>592</v>
      </c>
      <c r="B43" s="127"/>
      <c r="C43" s="127"/>
      <c r="D43" s="127"/>
      <c r="E43" s="127"/>
      <c r="F43" s="127"/>
      <c r="G43" s="127"/>
    </row>
    <row r="44" customFormat="false" ht="18" hidden="false" customHeight="true" outlineLevel="0" collapsed="false">
      <c r="A44" s="128" t="s">
        <v>593</v>
      </c>
      <c r="B44" s="128" t="s">
        <v>594</v>
      </c>
      <c r="C44" s="128" t="s">
        <v>595</v>
      </c>
      <c r="D44" s="128"/>
      <c r="E44" s="128"/>
      <c r="F44" s="128"/>
      <c r="G44" s="128"/>
    </row>
    <row r="45" customFormat="false" ht="99.75" hidden="false" customHeight="true" outlineLevel="0" collapsed="false">
      <c r="A45" s="129" t="s">
        <v>596</v>
      </c>
      <c r="B45" s="129" t="s">
        <v>597</v>
      </c>
      <c r="C45" s="129" t="s">
        <v>598</v>
      </c>
      <c r="D45" s="129"/>
      <c r="E45" s="129"/>
      <c r="F45" s="129"/>
      <c r="G45" s="129"/>
    </row>
    <row r="46" customFormat="false" ht="15" hidden="false" customHeight="true" outlineLevel="0" collapsed="false">
      <c r="A46" s="26" t="s">
        <v>599</v>
      </c>
      <c r="B46" s="12"/>
      <c r="C46" s="12"/>
      <c r="D46" s="12"/>
      <c r="E46" s="12"/>
      <c r="F46" s="12"/>
      <c r="G46" s="12"/>
    </row>
    <row r="47" customFormat="false" ht="15" hidden="false" customHeight="true" outlineLevel="0" collapsed="false">
      <c r="A47" s="12"/>
      <c r="B47" s="12"/>
      <c r="C47" s="12"/>
      <c r="D47" s="12"/>
      <c r="E47" s="12"/>
      <c r="F47" s="12"/>
      <c r="G47" s="12"/>
    </row>
    <row r="48" customFormat="false" ht="18" hidden="false" customHeight="true" outlineLevel="0" collapsed="false">
      <c r="A48" s="111" t="s">
        <v>600</v>
      </c>
      <c r="B48" s="127"/>
      <c r="C48" s="127"/>
      <c r="D48" s="127"/>
      <c r="E48" s="127"/>
      <c r="F48" s="127"/>
      <c r="G48" s="127"/>
    </row>
    <row r="49" customFormat="false" ht="18" hidden="false" customHeight="true" outlineLevel="0" collapsed="false">
      <c r="A49" s="128" t="s">
        <v>601</v>
      </c>
      <c r="B49" s="128" t="s">
        <v>602</v>
      </c>
      <c r="C49" s="128"/>
      <c r="D49" s="128"/>
      <c r="E49" s="128"/>
      <c r="F49" s="128"/>
      <c r="G49" s="128"/>
    </row>
    <row r="50" customFormat="false" ht="30" hidden="false" customHeight="true" outlineLevel="0" collapsed="false">
      <c r="A50" s="130" t="s">
        <v>603</v>
      </c>
      <c r="B50" s="129" t="s">
        <v>604</v>
      </c>
      <c r="C50" s="129"/>
      <c r="D50" s="129"/>
      <c r="E50" s="129"/>
      <c r="F50" s="129"/>
      <c r="G50" s="129"/>
    </row>
    <row r="51" customFormat="false" ht="30" hidden="false" customHeight="true" outlineLevel="0" collapsed="false">
      <c r="A51" s="130" t="s">
        <v>605</v>
      </c>
      <c r="B51" s="129" t="s">
        <v>606</v>
      </c>
      <c r="C51" s="129"/>
      <c r="D51" s="129"/>
      <c r="E51" s="129"/>
      <c r="F51" s="129"/>
      <c r="G51" s="129"/>
    </row>
    <row r="52" customFormat="false" ht="30" hidden="false" customHeight="true" outlineLevel="0" collapsed="false">
      <c r="A52" s="130" t="s">
        <v>607</v>
      </c>
      <c r="B52" s="129" t="s">
        <v>608</v>
      </c>
      <c r="C52" s="129"/>
      <c r="D52" s="129"/>
      <c r="E52" s="129"/>
      <c r="F52" s="129"/>
      <c r="G52" s="129"/>
    </row>
    <row r="53" customFormat="false" ht="15" hidden="false" customHeight="true" outlineLevel="0" collapsed="false">
      <c r="A53" s="12"/>
      <c r="B53" s="12"/>
      <c r="C53" s="12"/>
      <c r="D53" s="12"/>
      <c r="E53" s="12"/>
      <c r="F53" s="12"/>
      <c r="G53" s="12"/>
    </row>
    <row r="54" customFormat="false" ht="15" hidden="false" customHeight="true" outlineLevel="0" collapsed="false">
      <c r="A54" s="12"/>
      <c r="B54" s="12"/>
      <c r="C54" s="12"/>
      <c r="D54" s="12"/>
      <c r="E54" s="12"/>
      <c r="F54" s="12"/>
      <c r="G54" s="12"/>
    </row>
    <row r="55" customFormat="false" ht="15" hidden="false" customHeight="true" outlineLevel="0" collapsed="false">
      <c r="A55" s="12"/>
      <c r="B55" s="12"/>
      <c r="C55" s="12"/>
      <c r="D55" s="12"/>
      <c r="E55" s="12"/>
      <c r="F55" s="12"/>
      <c r="G55" s="12"/>
    </row>
    <row r="56" customFormat="false" ht="15" hidden="false" customHeight="true" outlineLevel="0" collapsed="false">
      <c r="A56" s="12"/>
      <c r="B56" s="12"/>
      <c r="C56" s="12"/>
      <c r="D56" s="12"/>
      <c r="E56" s="12"/>
      <c r="F56" s="12"/>
      <c r="G56" s="12"/>
    </row>
    <row r="57" customFormat="false" ht="15" hidden="false" customHeight="true" outlineLevel="0" collapsed="false">
      <c r="A57" s="12"/>
      <c r="B57" s="12"/>
      <c r="C57" s="12"/>
      <c r="D57" s="12"/>
      <c r="E57" s="12"/>
      <c r="F57" s="12"/>
      <c r="G57" s="12"/>
    </row>
    <row r="58" customFormat="false" ht="15" hidden="false" customHeight="true" outlineLevel="0" collapsed="false">
      <c r="A58" s="12"/>
      <c r="B58" s="12"/>
      <c r="C58" s="12"/>
      <c r="D58" s="12"/>
      <c r="E58" s="12"/>
      <c r="F58" s="12"/>
      <c r="G58" s="12"/>
    </row>
    <row r="59" customFormat="false" ht="15" hidden="false" customHeight="true" outlineLevel="0" collapsed="false">
      <c r="A59" s="12"/>
      <c r="B59" s="12"/>
      <c r="C59" s="12"/>
      <c r="D59" s="12"/>
      <c r="E59" s="12"/>
      <c r="F59" s="12"/>
      <c r="G59" s="12"/>
    </row>
    <row r="60" customFormat="false" ht="15" hidden="false" customHeight="true" outlineLevel="0" collapsed="false">
      <c r="A60" s="12"/>
      <c r="B60" s="12"/>
      <c r="C60" s="12"/>
      <c r="D60" s="12"/>
      <c r="E60" s="12"/>
      <c r="F60" s="12"/>
      <c r="G60" s="12"/>
    </row>
  </sheetData>
  <mergeCells count="7">
    <mergeCell ref="A2:G2"/>
    <mergeCell ref="C44:G44"/>
    <mergeCell ref="C45:G45"/>
    <mergeCell ref="B49:G49"/>
    <mergeCell ref="B50:G50"/>
    <mergeCell ref="B51:G51"/>
    <mergeCell ref="B52:G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9" min="2" style="1" width="12"/>
  </cols>
  <sheetData>
    <row r="1" customFormat="false" ht="17.25" hidden="false" customHeight="true" outlineLevel="0" collapsed="false">
      <c r="A1" s="2" t="s">
        <v>609</v>
      </c>
    </row>
    <row r="2" customFormat="false" ht="51.75" hidden="false" customHeight="true" outlineLevel="0" collapsed="false">
      <c r="A2" s="3" t="s">
        <v>610</v>
      </c>
      <c r="B2" s="3"/>
      <c r="C2" s="3"/>
      <c r="D2" s="3"/>
      <c r="E2" s="3"/>
      <c r="F2" s="3"/>
      <c r="G2" s="3"/>
      <c r="H2" s="3"/>
      <c r="I2" s="3"/>
    </row>
    <row r="3" customFormat="false" ht="15" hidden="false" customHeight="true" outlineLevel="0" collapsed="false">
      <c r="A3" s="26" t="s">
        <v>611</v>
      </c>
    </row>
    <row r="4" customFormat="false" ht="15" hidden="false" customHeight="true" outlineLevel="0" collapsed="false">
      <c r="A4" s="52" t="s">
        <v>612</v>
      </c>
    </row>
    <row r="5" customFormat="false" ht="15" hidden="false" customHeight="true" outlineLevel="0" collapsed="false">
      <c r="A5" s="131" t="s">
        <v>613</v>
      </c>
      <c r="B5" s="105" t="s">
        <v>526</v>
      </c>
      <c r="C5" s="105" t="s">
        <v>49</v>
      </c>
      <c r="D5" s="105" t="s">
        <v>614</v>
      </c>
      <c r="E5" s="105" t="s">
        <v>50</v>
      </c>
      <c r="F5" s="105" t="s">
        <v>615</v>
      </c>
      <c r="G5" s="105" t="s">
        <v>51</v>
      </c>
      <c r="H5" s="105" t="s">
        <v>616</v>
      </c>
      <c r="I5" s="105" t="s">
        <v>617</v>
      </c>
    </row>
    <row r="6" customFormat="false" ht="15" hidden="false" customHeight="true" outlineLevel="0" collapsed="false">
      <c r="A6" s="12" t="s">
        <v>32</v>
      </c>
      <c r="B6" s="12" t="s">
        <v>9</v>
      </c>
      <c r="C6" s="29" t="n">
        <v>2262.2</v>
      </c>
      <c r="D6" s="29" t="n">
        <v>2272.5</v>
      </c>
      <c r="E6" s="29" t="n">
        <v>2280.2</v>
      </c>
      <c r="F6" s="29" t="n">
        <v>2287.7</v>
      </c>
      <c r="G6" s="29" t="n">
        <v>2297.7</v>
      </c>
      <c r="H6" s="29" t="n">
        <v>2280.1</v>
      </c>
      <c r="I6" s="29" t="n">
        <v>2283.6</v>
      </c>
    </row>
    <row r="7" customFormat="false" ht="15" hidden="false" customHeight="true" outlineLevel="0" collapsed="false">
      <c r="A7" s="12" t="s">
        <v>32</v>
      </c>
      <c r="B7" s="12" t="s">
        <v>10</v>
      </c>
      <c r="C7" s="29" t="n">
        <v>2357.2</v>
      </c>
      <c r="D7" s="29" t="n">
        <v>2389.1</v>
      </c>
      <c r="E7" s="29" t="n">
        <v>2412.6</v>
      </c>
      <c r="F7" s="29" t="n">
        <v>2435.1</v>
      </c>
      <c r="G7" s="29" t="n">
        <v>2466</v>
      </c>
      <c r="H7" s="29" t="n">
        <v>2412</v>
      </c>
      <c r="I7" s="29" t="n">
        <v>2421.1</v>
      </c>
    </row>
    <row r="8" customFormat="false" ht="15" hidden="false" customHeight="true" outlineLevel="0" collapsed="false">
      <c r="A8" s="12" t="s">
        <v>32</v>
      </c>
      <c r="B8" s="12" t="s">
        <v>11</v>
      </c>
      <c r="C8" s="29" t="n">
        <v>2456.4</v>
      </c>
      <c r="D8" s="29" t="n">
        <v>2512.3</v>
      </c>
      <c r="E8" s="29" t="n">
        <v>2553.6</v>
      </c>
      <c r="F8" s="29" t="n">
        <v>2593.4</v>
      </c>
      <c r="G8" s="29" t="n">
        <v>2648.8</v>
      </c>
      <c r="H8" s="29" t="n">
        <v>2553</v>
      </c>
      <c r="I8" s="29" t="n">
        <v>2566.8</v>
      </c>
    </row>
    <row r="9" customFormat="false" ht="15" hidden="false" customHeight="true" outlineLevel="0" collapsed="false">
      <c r="A9" s="12" t="s">
        <v>34</v>
      </c>
      <c r="B9" s="12" t="s">
        <v>9</v>
      </c>
      <c r="C9" s="29" t="n">
        <v>169.8</v>
      </c>
      <c r="D9" s="29" t="n">
        <v>175.6</v>
      </c>
      <c r="E9" s="29" t="n">
        <v>179.9</v>
      </c>
      <c r="F9" s="29" t="n">
        <v>184.1</v>
      </c>
      <c r="G9" s="29" t="n">
        <v>189.9</v>
      </c>
      <c r="H9" s="29" t="n">
        <v>179.9</v>
      </c>
      <c r="I9" s="29" t="n">
        <v>180.2</v>
      </c>
    </row>
    <row r="10" customFormat="false" ht="15" hidden="false" customHeight="true" outlineLevel="0" collapsed="false">
      <c r="A10" s="12" t="s">
        <v>34</v>
      </c>
      <c r="B10" s="12" t="s">
        <v>10</v>
      </c>
      <c r="C10" s="29" t="n">
        <v>176.8</v>
      </c>
      <c r="D10" s="29" t="n">
        <v>187.9</v>
      </c>
      <c r="E10" s="29" t="n">
        <v>196</v>
      </c>
      <c r="F10" s="29" t="n">
        <v>204.2</v>
      </c>
      <c r="G10" s="29" t="n">
        <v>215.3</v>
      </c>
      <c r="H10" s="29" t="n">
        <v>196.1</v>
      </c>
      <c r="I10" s="29" t="n">
        <v>196.9</v>
      </c>
    </row>
    <row r="11" customFormat="false" ht="15" hidden="false" customHeight="true" outlineLevel="0" collapsed="false">
      <c r="A11" s="12" t="s">
        <v>34</v>
      </c>
      <c r="B11" s="12" t="s">
        <v>11</v>
      </c>
      <c r="C11" s="29" t="n">
        <v>193</v>
      </c>
      <c r="D11" s="29" t="n">
        <v>206.2</v>
      </c>
      <c r="E11" s="29" t="n">
        <v>216.1</v>
      </c>
      <c r="F11" s="29" t="n">
        <v>226</v>
      </c>
      <c r="G11" s="29" t="n">
        <v>239.6</v>
      </c>
      <c r="H11" s="29" t="n">
        <v>216.2</v>
      </c>
      <c r="I11" s="29" t="n">
        <v>217.6</v>
      </c>
    </row>
    <row r="12" customFormat="false" ht="15" hidden="false" customHeight="true" outlineLevel="0" collapsed="false">
      <c r="A12" s="12" t="s">
        <v>36</v>
      </c>
      <c r="B12" s="12" t="s">
        <v>9</v>
      </c>
      <c r="C12" s="29" t="n">
        <v>71.3</v>
      </c>
      <c r="D12" s="29" t="n">
        <v>77.8</v>
      </c>
      <c r="E12" s="29" t="n">
        <v>82.4</v>
      </c>
      <c r="F12" s="29" t="n">
        <v>86.9</v>
      </c>
      <c r="G12" s="29" t="n">
        <v>93</v>
      </c>
      <c r="H12" s="29" t="n">
        <v>82.3</v>
      </c>
      <c r="I12" s="29" t="n">
        <v>84.6</v>
      </c>
    </row>
    <row r="13" customFormat="false" ht="15" hidden="false" customHeight="true" outlineLevel="0" collapsed="false">
      <c r="A13" s="12" t="s">
        <v>36</v>
      </c>
      <c r="B13" s="12" t="s">
        <v>10</v>
      </c>
      <c r="C13" s="29" t="n">
        <v>62.8</v>
      </c>
      <c r="D13" s="29" t="n">
        <v>77.1</v>
      </c>
      <c r="E13" s="29" t="n">
        <v>87.2</v>
      </c>
      <c r="F13" s="29" t="n">
        <v>97.1</v>
      </c>
      <c r="G13" s="29" t="n">
        <v>110.4</v>
      </c>
      <c r="H13" s="29" t="n">
        <v>87</v>
      </c>
      <c r="I13" s="29" t="n">
        <v>91</v>
      </c>
    </row>
    <row r="14" customFormat="false" ht="15" hidden="false" customHeight="true" outlineLevel="0" collapsed="false">
      <c r="A14" s="12" t="s">
        <v>36</v>
      </c>
      <c r="B14" s="12" t="s">
        <v>11</v>
      </c>
      <c r="C14" s="29" t="n">
        <v>102.8</v>
      </c>
      <c r="D14" s="29" t="n">
        <v>117.3</v>
      </c>
      <c r="E14" s="29" t="n">
        <v>127.8</v>
      </c>
      <c r="F14" s="29" t="n">
        <v>138</v>
      </c>
      <c r="G14" s="29" t="n">
        <v>151.6</v>
      </c>
      <c r="H14" s="29" t="n">
        <v>127.6</v>
      </c>
      <c r="I14" s="29" t="n">
        <v>134.6</v>
      </c>
    </row>
    <row r="15" customFormat="false" ht="15" hidden="false" customHeight="true" outlineLevel="0" collapsed="false">
      <c r="A15" s="12" t="s">
        <v>37</v>
      </c>
      <c r="B15" s="12" t="s">
        <v>9</v>
      </c>
      <c r="C15" s="29" t="n">
        <v>71.8</v>
      </c>
      <c r="D15" s="29" t="n">
        <v>78.3</v>
      </c>
      <c r="E15" s="29" t="n">
        <v>82.9</v>
      </c>
      <c r="F15" s="29" t="n">
        <v>87.4</v>
      </c>
      <c r="G15" s="29" t="n">
        <v>93.5</v>
      </c>
      <c r="H15" s="29" t="n">
        <v>82.8</v>
      </c>
      <c r="I15" s="29" t="n">
        <v>85</v>
      </c>
    </row>
    <row r="16" customFormat="false" ht="15" hidden="false" customHeight="true" outlineLevel="0" collapsed="false">
      <c r="A16" s="12" t="s">
        <v>37</v>
      </c>
      <c r="B16" s="12" t="s">
        <v>10</v>
      </c>
      <c r="C16" s="29" t="n">
        <v>63.2</v>
      </c>
      <c r="D16" s="29" t="n">
        <v>83.8</v>
      </c>
      <c r="E16" s="29" t="n">
        <v>98.6</v>
      </c>
      <c r="F16" s="29" t="n">
        <v>112.9</v>
      </c>
      <c r="G16" s="29" t="n">
        <v>131.6</v>
      </c>
      <c r="H16" s="29" t="n">
        <v>98.1</v>
      </c>
      <c r="I16" s="29" t="n">
        <v>104.3</v>
      </c>
    </row>
    <row r="17" customFormat="false" ht="15" hidden="false" customHeight="true" outlineLevel="0" collapsed="false">
      <c r="A17" s="12" t="s">
        <v>37</v>
      </c>
      <c r="B17" s="12" t="s">
        <v>11</v>
      </c>
      <c r="C17" s="29" t="n">
        <v>93</v>
      </c>
      <c r="D17" s="29" t="n">
        <v>128.2</v>
      </c>
      <c r="E17" s="29" t="n">
        <v>153.3</v>
      </c>
      <c r="F17" s="29" t="n">
        <v>177.2</v>
      </c>
      <c r="G17" s="29" t="n">
        <v>209.8</v>
      </c>
      <c r="H17" s="29" t="n">
        <v>152.5</v>
      </c>
      <c r="I17" s="29" t="n">
        <v>165.7</v>
      </c>
    </row>
    <row r="22" customFormat="false" ht="15" hidden="false" customHeight="true" outlineLevel="0" collapsed="false">
      <c r="A22" s="52" t="s">
        <v>618</v>
      </c>
    </row>
    <row r="23" customFormat="false" ht="15" hidden="false" customHeight="true" outlineLevel="0" collapsed="false">
      <c r="A23" s="131" t="s">
        <v>619</v>
      </c>
      <c r="G23" s="105" t="s">
        <v>620</v>
      </c>
    </row>
    <row r="24" customFormat="false" ht="15" hidden="false" customHeight="true" outlineLevel="0" collapsed="false">
      <c r="A24" s="12" t="s">
        <v>621</v>
      </c>
      <c r="G24" s="19" t="n">
        <v>0.898</v>
      </c>
    </row>
    <row r="25" customFormat="false" ht="15" hidden="false" customHeight="true" outlineLevel="0" collapsed="false">
      <c r="A25" s="12" t="s">
        <v>622</v>
      </c>
      <c r="G25" s="19" t="n">
        <v>0.48</v>
      </c>
    </row>
    <row r="26" customFormat="false" ht="15" hidden="false" customHeight="true" outlineLevel="0" collapsed="false">
      <c r="A26" s="12" t="s">
        <v>623</v>
      </c>
      <c r="G26" s="19" t="n">
        <v>0.867</v>
      </c>
    </row>
    <row r="27" customFormat="false" ht="15" hidden="false" customHeight="true" outlineLevel="0" collapsed="false">
      <c r="A27" s="12" t="s">
        <v>624</v>
      </c>
      <c r="G27" s="19" t="n">
        <v>0.01</v>
      </c>
    </row>
    <row r="28" customFormat="false" ht="15" hidden="false" customHeight="true" outlineLevel="0" collapsed="false">
      <c r="A28" s="12" t="s">
        <v>625</v>
      </c>
      <c r="G28" s="19" t="n">
        <v>0</v>
      </c>
    </row>
    <row r="30" customFormat="false" ht="15" hidden="false" customHeight="true" outlineLevel="0" collapsed="false">
      <c r="A30" s="52" t="s">
        <v>626</v>
      </c>
    </row>
    <row r="31" customFormat="false" ht="15" hidden="false" customHeight="true" outlineLevel="0" collapsed="false">
      <c r="A31" s="131" t="s">
        <v>8</v>
      </c>
      <c r="D31" s="105" t="s">
        <v>627</v>
      </c>
      <c r="E31" s="105" t="s">
        <v>628</v>
      </c>
      <c r="F31" s="105" t="s">
        <v>629</v>
      </c>
      <c r="G31" s="105" t="s">
        <v>630</v>
      </c>
      <c r="H31" s="105" t="s">
        <v>631</v>
      </c>
    </row>
    <row r="32" customFormat="false" ht="15" hidden="false" customHeight="true" outlineLevel="0" collapsed="false">
      <c r="A32" s="12" t="s">
        <v>23</v>
      </c>
      <c r="D32" s="29" t="n">
        <v>191.1</v>
      </c>
      <c r="E32" s="29" t="n">
        <v>244.2</v>
      </c>
      <c r="F32" s="29" t="n">
        <v>53</v>
      </c>
      <c r="G32" s="29" t="n">
        <v>74.9</v>
      </c>
      <c r="H32" s="29" t="n">
        <v>95.2</v>
      </c>
    </row>
    <row r="33" customFormat="false" ht="15" hidden="false" customHeight="true" outlineLevel="0" collapsed="false">
      <c r="A33" s="12" t="s">
        <v>17</v>
      </c>
      <c r="D33" s="29" t="n">
        <v>205.2</v>
      </c>
      <c r="E33" s="29" t="n">
        <v>228</v>
      </c>
      <c r="F33" s="29" t="n">
        <v>22.8</v>
      </c>
      <c r="G33" s="29" t="n">
        <v>82.2</v>
      </c>
      <c r="H33" s="29" t="n">
        <v>87.3</v>
      </c>
    </row>
    <row r="34" customFormat="false" ht="15" hidden="false" customHeight="true" outlineLevel="0" collapsed="false">
      <c r="A34" s="12" t="s">
        <v>21</v>
      </c>
      <c r="D34" s="29" t="n">
        <v>214.3</v>
      </c>
      <c r="E34" s="29" t="n">
        <v>221.2</v>
      </c>
      <c r="F34" s="29" t="n">
        <v>6.9</v>
      </c>
      <c r="G34" s="29" t="n">
        <v>83.7</v>
      </c>
      <c r="H34" s="29" t="n">
        <v>86.4</v>
      </c>
    </row>
    <row r="35" customFormat="false" ht="15" hidden="false" customHeight="true" outlineLevel="0" collapsed="false">
      <c r="A35" s="12" t="s">
        <v>13</v>
      </c>
      <c r="D35" s="29" t="n">
        <v>214.7</v>
      </c>
      <c r="E35" s="29" t="n">
        <v>220</v>
      </c>
      <c r="F35" s="29" t="n">
        <v>5.3</v>
      </c>
      <c r="G35" s="29" t="n">
        <v>84.2</v>
      </c>
      <c r="H35" s="29" t="n">
        <v>85.3</v>
      </c>
    </row>
    <row r="36" customFormat="false" ht="15" hidden="false" customHeight="true" outlineLevel="0" collapsed="false">
      <c r="A36" s="12" t="s">
        <v>19</v>
      </c>
      <c r="D36" s="29" t="n">
        <v>214.6</v>
      </c>
      <c r="E36" s="29" t="n">
        <v>219.6</v>
      </c>
      <c r="F36" s="29" t="n">
        <v>5</v>
      </c>
      <c r="G36" s="29" t="n">
        <v>83.7</v>
      </c>
      <c r="H36" s="29" t="n">
        <v>85.9</v>
      </c>
    </row>
    <row r="37" customFormat="false" ht="15" hidden="false" customHeight="true" outlineLevel="0" collapsed="false">
      <c r="A37" s="12" t="s">
        <v>632</v>
      </c>
      <c r="D37" s="29" t="n">
        <v>218.5</v>
      </c>
      <c r="E37" s="29" t="n">
        <v>216.3</v>
      </c>
      <c r="F37" s="29" t="n">
        <v>-2.2</v>
      </c>
      <c r="G37" s="29" t="n">
        <v>93.9</v>
      </c>
      <c r="H37" s="29" t="n">
        <v>61.4</v>
      </c>
    </row>
    <row r="38" customFormat="false" ht="15" hidden="false" customHeight="true" outlineLevel="0" collapsed="false">
      <c r="A38" s="12" t="s">
        <v>15</v>
      </c>
      <c r="D38" s="29" t="n">
        <v>216.7</v>
      </c>
      <c r="E38" s="29" t="n">
        <v>218.6</v>
      </c>
      <c r="F38" s="29" t="n">
        <v>2</v>
      </c>
      <c r="G38" s="29" t="n">
        <v>84.7</v>
      </c>
      <c r="H38" s="29" t="n">
        <v>85.4</v>
      </c>
    </row>
    <row r="39" customFormat="false" ht="15" hidden="false" customHeight="true" outlineLevel="0" collapsed="false">
      <c r="A39" s="12" t="s">
        <v>447</v>
      </c>
      <c r="D39" s="29" t="n">
        <v>217.9</v>
      </c>
      <c r="E39" s="29" t="n">
        <v>217.4</v>
      </c>
      <c r="F39" s="29" t="n">
        <v>-0.5</v>
      </c>
      <c r="G39" s="29" t="n">
        <v>84.6</v>
      </c>
      <c r="H39" s="29" t="n">
        <v>85.5</v>
      </c>
    </row>
    <row r="40" customFormat="false" ht="15" hidden="false" customHeight="true" outlineLevel="0" collapsed="false">
      <c r="A40" s="12" t="s">
        <v>27</v>
      </c>
      <c r="D40" s="29" t="n">
        <v>217.7</v>
      </c>
      <c r="E40" s="29" t="n">
        <v>217.5</v>
      </c>
      <c r="F40" s="29" t="n">
        <v>-0.1</v>
      </c>
      <c r="G40" s="29" t="n">
        <v>85.7</v>
      </c>
      <c r="H40" s="29" t="n">
        <v>83.7</v>
      </c>
    </row>
    <row r="43" customFormat="false" ht="15" hidden="false" customHeight="true" outlineLevel="0" collapsed="false">
      <c r="A43" s="52" t="s">
        <v>633</v>
      </c>
    </row>
    <row r="44" customFormat="false" ht="15" hidden="false" customHeight="true" outlineLevel="0" collapsed="false">
      <c r="A44" s="131" t="s">
        <v>634</v>
      </c>
      <c r="B44" s="105" t="s">
        <v>635</v>
      </c>
      <c r="C44" s="105" t="s">
        <v>636</v>
      </c>
      <c r="D44" s="105" t="s">
        <v>637</v>
      </c>
      <c r="E44" s="105" t="s">
        <v>638</v>
      </c>
      <c r="F44" s="105" t="s">
        <v>639</v>
      </c>
      <c r="G44" s="105" t="s">
        <v>640</v>
      </c>
      <c r="H44" s="105" t="s">
        <v>641</v>
      </c>
    </row>
    <row r="45" customFormat="false" ht="15" hidden="false" customHeight="true" outlineLevel="0" collapsed="false">
      <c r="A45" s="12" t="s">
        <v>40</v>
      </c>
      <c r="B45" s="29" t="n">
        <v>2237.8</v>
      </c>
      <c r="C45" s="29" t="n">
        <v>2292</v>
      </c>
      <c r="D45" s="29" t="n">
        <v>2346</v>
      </c>
      <c r="E45" s="29" t="n">
        <v>162.8</v>
      </c>
      <c r="F45" s="29" t="n">
        <v>162</v>
      </c>
      <c r="G45" s="29" t="n">
        <v>172.5</v>
      </c>
      <c r="H45" s="29" t="n">
        <v>56.6</v>
      </c>
    </row>
    <row r="46" customFormat="false" ht="15" hidden="false" customHeight="true" outlineLevel="0" collapsed="false">
      <c r="A46" s="12" t="s">
        <v>41</v>
      </c>
      <c r="B46" s="29" t="n">
        <v>2283.6</v>
      </c>
      <c r="C46" s="29" t="n">
        <v>2421.1</v>
      </c>
      <c r="D46" s="29" t="n">
        <v>2566.8</v>
      </c>
      <c r="E46" s="29" t="n">
        <v>180.2</v>
      </c>
      <c r="F46" s="29" t="n">
        <v>196.9</v>
      </c>
      <c r="G46" s="29" t="n">
        <v>217.6</v>
      </c>
      <c r="H46" s="29" t="n">
        <v>85</v>
      </c>
    </row>
    <row r="47" customFormat="false" ht="15" hidden="false" customHeight="true" outlineLevel="0" collapsed="false">
      <c r="A47" s="12" t="s">
        <v>42</v>
      </c>
      <c r="B47" s="29" t="n">
        <v>2320.1</v>
      </c>
      <c r="C47" s="29" t="n">
        <v>2530.5</v>
      </c>
      <c r="D47" s="29" t="n">
        <v>2766.3</v>
      </c>
      <c r="E47" s="29" t="n">
        <v>197.4</v>
      </c>
      <c r="F47" s="29" t="n">
        <v>232.5</v>
      </c>
      <c r="G47" s="29" t="n">
        <v>265</v>
      </c>
      <c r="H47" s="29" t="n">
        <v>100.2</v>
      </c>
    </row>
    <row r="49" customFormat="false" ht="15" hidden="false" customHeight="true" outlineLevel="0" collapsed="false">
      <c r="A49" s="52" t="s">
        <v>642</v>
      </c>
    </row>
    <row r="50" customFormat="false" ht="15" hidden="false" customHeight="true" outlineLevel="0" collapsed="false">
      <c r="A50" s="131" t="s">
        <v>643</v>
      </c>
      <c r="B50" s="105" t="s">
        <v>9</v>
      </c>
      <c r="C50" s="105" t="s">
        <v>10</v>
      </c>
      <c r="D50" s="105" t="s">
        <v>11</v>
      </c>
    </row>
    <row r="51" customFormat="false" ht="15" hidden="false" customHeight="true" outlineLevel="0" collapsed="false">
      <c r="A51" s="12" t="s">
        <v>644</v>
      </c>
      <c r="B51" s="32" t="n">
        <v>1.7</v>
      </c>
      <c r="C51" s="32" t="n">
        <v>3.8</v>
      </c>
      <c r="D51" s="32" t="n">
        <v>6.3</v>
      </c>
    </row>
    <row r="52" customFormat="false" ht="15" hidden="false" customHeight="true" outlineLevel="0" collapsed="false">
      <c r="A52" s="12" t="s">
        <v>645</v>
      </c>
      <c r="B52" s="32" t="n">
        <v>-1.7</v>
      </c>
      <c r="C52" s="32" t="n">
        <v>-3.8</v>
      </c>
      <c r="D52" s="32" t="n">
        <v>-6.2</v>
      </c>
    </row>
    <row r="53" customFormat="false" ht="15" hidden="false" customHeight="true" outlineLevel="0" collapsed="false">
      <c r="A53" s="12" t="s">
        <v>646</v>
      </c>
      <c r="B53" s="32" t="n">
        <v>22.8</v>
      </c>
      <c r="C53" s="32" t="n">
        <v>24.7</v>
      </c>
      <c r="D53" s="32" t="n">
        <v>26.7</v>
      </c>
    </row>
    <row r="54" customFormat="false" ht="15" hidden="false" customHeight="true" outlineLevel="0" collapsed="false">
      <c r="A54" s="12" t="s">
        <v>647</v>
      </c>
      <c r="B54" s="32" t="n">
        <v>-22.8</v>
      </c>
      <c r="C54" s="32" t="n">
        <v>-24.7</v>
      </c>
      <c r="D54" s="32" t="n">
        <v>-26.7</v>
      </c>
    </row>
    <row r="57" customFormat="false" ht="15" hidden="false" customHeight="true" outlineLevel="0" collapsed="false">
      <c r="A57" s="52" t="s">
        <v>648</v>
      </c>
    </row>
    <row r="58" customFormat="false" ht="45.75" hidden="false" customHeight="true" outlineLevel="0" collapsed="false">
      <c r="A58" s="132" t="s">
        <v>123</v>
      </c>
      <c r="B58" s="8" t="s">
        <v>649</v>
      </c>
      <c r="C58" s="8"/>
      <c r="D58" s="8"/>
      <c r="E58" s="8"/>
      <c r="F58" s="8"/>
      <c r="G58" s="8"/>
      <c r="H58" s="8"/>
      <c r="I58" s="8"/>
    </row>
    <row r="59" customFormat="false" ht="45.75" hidden="false" customHeight="true" outlineLevel="0" collapsed="false">
      <c r="A59" s="132" t="s">
        <v>125</v>
      </c>
      <c r="B59" s="8" t="s">
        <v>650</v>
      </c>
      <c r="C59" s="8"/>
      <c r="D59" s="8"/>
      <c r="E59" s="8"/>
      <c r="F59" s="8"/>
      <c r="G59" s="8"/>
      <c r="H59" s="8"/>
      <c r="I59" s="8"/>
    </row>
    <row r="60" customFormat="false" ht="45.75" hidden="false" customHeight="true" outlineLevel="0" collapsed="false">
      <c r="A60" s="132" t="s">
        <v>127</v>
      </c>
      <c r="B60" s="8" t="s">
        <v>651</v>
      </c>
      <c r="C60" s="8"/>
      <c r="D60" s="8"/>
      <c r="E60" s="8"/>
      <c r="F60" s="8"/>
      <c r="G60" s="8"/>
      <c r="H60" s="8"/>
      <c r="I60" s="8"/>
    </row>
  </sheetData>
  <mergeCells count="4">
    <mergeCell ref="A2:I2"/>
    <mergeCell ref="B58:I58"/>
    <mergeCell ref="B59:I59"/>
    <mergeCell ref="B60:I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52"/>
    <col collapsed="false" customWidth="true" hidden="false" outlineLevel="0" max="2" min="2" style="1" width="26"/>
    <col collapsed="false" customWidth="true" hidden="false" outlineLevel="0" max="10" min="3" style="1" width="10"/>
  </cols>
  <sheetData>
    <row r="1" customFormat="false" ht="21.75" hidden="false" customHeight="true" outlineLevel="0" collapsed="false">
      <c r="A1" s="2" t="s">
        <v>652</v>
      </c>
    </row>
    <row r="2" customFormat="false" ht="16.5" hidden="false" customHeight="true" outlineLevel="0" collapsed="false">
      <c r="A2" s="3" t="s">
        <v>653</v>
      </c>
      <c r="B2" s="3"/>
      <c r="C2" s="3"/>
      <c r="D2" s="3"/>
      <c r="E2" s="3"/>
      <c r="F2" s="3"/>
      <c r="G2" s="3"/>
      <c r="H2" s="3"/>
      <c r="I2" s="3"/>
      <c r="J2" s="3"/>
    </row>
    <row r="4" customFormat="false" ht="15" hidden="false" customHeight="true" outlineLevel="0" collapsed="false">
      <c r="A4" s="71" t="s">
        <v>654</v>
      </c>
      <c r="B4" s="71" t="s">
        <v>655</v>
      </c>
      <c r="C4" s="71" t="s">
        <v>201</v>
      </c>
      <c r="D4" s="71" t="s">
        <v>202</v>
      </c>
      <c r="E4" s="71" t="s">
        <v>203</v>
      </c>
      <c r="F4" s="71" t="s">
        <v>204</v>
      </c>
      <c r="G4" s="71" t="s">
        <v>205</v>
      </c>
      <c r="H4" s="71" t="s">
        <v>9</v>
      </c>
      <c r="I4" s="71" t="s">
        <v>10</v>
      </c>
      <c r="J4" s="71" t="s">
        <v>11</v>
      </c>
    </row>
    <row r="5" customFormat="false" ht="15" hidden="false" customHeight="true" outlineLevel="0" collapsed="false">
      <c r="A5" s="60" t="s">
        <v>656</v>
      </c>
      <c r="B5" s="56" t="s">
        <v>86</v>
      </c>
      <c r="C5" s="133" t="n">
        <f aca="false">ROUND(Historical!C13-Historical!C30,1)</f>
        <v>0</v>
      </c>
      <c r="D5" s="133" t="n">
        <f aca="false">ROUND(Historical!D13-Historical!D30,1)</f>
        <v>0</v>
      </c>
      <c r="E5" s="133" t="n">
        <f aca="false">ROUND(Historical!E13-Historical!E30,1)</f>
        <v>0</v>
      </c>
      <c r="F5" s="133" t="n">
        <f aca="false">ROUND(Historical!F13-Historical!F30,1)</f>
        <v>0</v>
      </c>
      <c r="G5" s="133" t="n">
        <f aca="false">ROUND(Historical!G13-Historical!G30,1)</f>
        <v>0</v>
      </c>
    </row>
    <row r="6" customFormat="false" ht="15" hidden="false" customHeight="true" outlineLevel="0" collapsed="false">
      <c r="A6" s="60" t="s">
        <v>657</v>
      </c>
      <c r="B6" s="56" t="s">
        <v>86</v>
      </c>
      <c r="C6" s="133" t="n">
        <f aca="false">ROUND(Historical!C16-Historical!C31,1)</f>
        <v>0</v>
      </c>
      <c r="D6" s="133" t="n">
        <f aca="false">ROUND(Historical!D16-Historical!D31,1)</f>
        <v>0</v>
      </c>
      <c r="E6" s="133" t="n">
        <f aca="false">ROUND(Historical!E16-Historical!E31,1)</f>
        <v>0</v>
      </c>
      <c r="F6" s="133" t="n">
        <f aca="false">ROUND(Historical!F16-Historical!F31,1)</f>
        <v>0</v>
      </c>
      <c r="G6" s="133" t="n">
        <f aca="false">ROUND(Historical!G16-Historical!G31,1)</f>
        <v>0</v>
      </c>
    </row>
    <row r="7" customFormat="false" ht="15" hidden="false" customHeight="true" outlineLevel="0" collapsed="false">
      <c r="A7" s="60" t="s">
        <v>658</v>
      </c>
      <c r="B7" s="56" t="s">
        <v>86</v>
      </c>
      <c r="C7" s="133" t="n">
        <f aca="false">ROUND(Historical!C18-Historical!C32,1)</f>
        <v>0</v>
      </c>
      <c r="D7" s="133" t="n">
        <f aca="false">ROUND(Historical!D18-Historical!D32,1)</f>
        <v>0</v>
      </c>
      <c r="E7" s="133" t="n">
        <f aca="false">ROUND(Historical!E18-Historical!E32,1)</f>
        <v>0</v>
      </c>
      <c r="F7" s="133" t="n">
        <f aca="false">ROUND(Historical!F18-Historical!F32,1)</f>
        <v>0</v>
      </c>
      <c r="G7" s="133" t="n">
        <f aca="false">ROUND(Historical!G18-Historical!G32,1)</f>
        <v>0</v>
      </c>
    </row>
    <row r="8" customFormat="false" ht="15" hidden="false" customHeight="true" outlineLevel="0" collapsed="false">
      <c r="A8" s="60" t="s">
        <v>659</v>
      </c>
      <c r="B8" s="56" t="s">
        <v>86</v>
      </c>
      <c r="C8" s="133" t="n">
        <f aca="false">ROUND(Historical!C25-Historical!C33,1)</f>
        <v>0</v>
      </c>
      <c r="D8" s="133" t="n">
        <f aca="false">ROUND(Historical!D25-Historical!D33,1)</f>
        <v>0</v>
      </c>
      <c r="E8" s="133" t="n">
        <f aca="false">ROUND(Historical!E25-Historical!E33,1)</f>
        <v>0</v>
      </c>
      <c r="F8" s="133" t="n">
        <f aca="false">ROUND(Historical!F25-Historical!F33,1)</f>
        <v>0</v>
      </c>
      <c r="G8" s="133" t="n">
        <f aca="false">ROUND(Historical!G25-Historical!G33,1)</f>
        <v>0</v>
      </c>
    </row>
    <row r="9" customFormat="false" ht="15" hidden="false" customHeight="true" outlineLevel="0" collapsed="false">
      <c r="A9" s="60" t="s">
        <v>660</v>
      </c>
      <c r="B9" s="56" t="s">
        <v>86</v>
      </c>
      <c r="C9" s="133" t="n">
        <f aca="false">ROUND(Historical!C36+Historical!C37-Historical!C7,1)</f>
        <v>0</v>
      </c>
      <c r="D9" s="133" t="n">
        <f aca="false">ROUND(Historical!D36+Historical!D37-Historical!D7,1)</f>
        <v>0</v>
      </c>
      <c r="E9" s="133" t="n">
        <f aca="false">ROUND(Historical!E36+Historical!E37-Historical!E7,1)</f>
        <v>0</v>
      </c>
      <c r="F9" s="133" t="n">
        <f aca="false">ROUND(Historical!F36+Historical!F37-Historical!F7,1)</f>
        <v>0</v>
      </c>
      <c r="G9" s="133" t="n">
        <f aca="false">ROUND(Historical!G36+Historical!G37-Historical!G7,1)</f>
        <v>0</v>
      </c>
    </row>
    <row r="10" customFormat="false" ht="15" hidden="false" customHeight="true" outlineLevel="0" collapsed="false">
      <c r="A10" s="60" t="s">
        <v>661</v>
      </c>
      <c r="B10" s="56" t="s">
        <v>86</v>
      </c>
      <c r="C10" s="133" t="n">
        <f aca="false">ROUND(Historical!C63-Historical!C83,1)</f>
        <v>0</v>
      </c>
      <c r="D10" s="133" t="n">
        <f aca="false">ROUND(Historical!D63-Historical!D83,1)</f>
        <v>0</v>
      </c>
      <c r="E10" s="133" t="n">
        <f aca="false">ROUND(Historical!E63-Historical!E83,1)</f>
        <v>0</v>
      </c>
      <c r="F10" s="133" t="n">
        <f aca="false">ROUND(Historical!F63-Historical!F83,1)</f>
        <v>0</v>
      </c>
      <c r="G10" s="133" t="n">
        <f aca="false">ROUND(Historical!G63-Historical!G83,1)</f>
        <v>0</v>
      </c>
    </row>
    <row r="11" customFormat="false" ht="15" hidden="false" customHeight="true" outlineLevel="0" collapsed="false">
      <c r="A11" s="60" t="s">
        <v>662</v>
      </c>
      <c r="B11" s="56" t="s">
        <v>86</v>
      </c>
      <c r="C11" s="133" t="n">
        <f aca="false">ROUND(Historical!C77-Historical!C84,1)</f>
        <v>0</v>
      </c>
      <c r="D11" s="133" t="n">
        <f aca="false">ROUND(Historical!D77-Historical!D84,1)</f>
        <v>0</v>
      </c>
      <c r="E11" s="133" t="n">
        <f aca="false">ROUND(Historical!E77-Historical!E84,1)</f>
        <v>0</v>
      </c>
      <c r="F11" s="133" t="n">
        <f aca="false">ROUND(Historical!F77-Historical!F84,1)</f>
        <v>0</v>
      </c>
      <c r="G11" s="133" t="n">
        <f aca="false">ROUND(Historical!G77-Historical!G84,1)</f>
        <v>0</v>
      </c>
    </row>
    <row r="12" customFormat="false" ht="15" hidden="false" customHeight="true" outlineLevel="0" collapsed="false">
      <c r="A12" s="60" t="s">
        <v>663</v>
      </c>
      <c r="B12" s="56" t="s">
        <v>664</v>
      </c>
      <c r="C12" s="133" t="n">
        <f aca="false">ROUND(Historical!C77-Historical!C82,1)</f>
        <v>0</v>
      </c>
      <c r="D12" s="133" t="n">
        <f aca="false">ROUND(Historical!D77-Historical!D82,1)</f>
        <v>0</v>
      </c>
      <c r="E12" s="133" t="n">
        <f aca="false">ROUND(Historical!E77-Historical!E82,1)</f>
        <v>0</v>
      </c>
      <c r="F12" s="133" t="n">
        <f aca="false">ROUND(Historical!F77-Historical!F82,1)</f>
        <v>0</v>
      </c>
      <c r="G12" s="133" t="n">
        <f aca="false">ROUND(Historical!G77-Historical!G82,1)</f>
        <v>0</v>
      </c>
      <c r="H12" s="133" t="n">
        <f aca="false">ROUND(Forecast!H77-Forecast!H82,1)</f>
        <v>0</v>
      </c>
      <c r="I12" s="133" t="n">
        <f aca="false">ROUND(Forecast!I77-Forecast!I82,1)</f>
        <v>0</v>
      </c>
      <c r="J12" s="133" t="n">
        <f aca="false">ROUND(Forecast!J77-Forecast!J82,1)</f>
        <v>0</v>
      </c>
    </row>
    <row r="13" customFormat="false" ht="15" hidden="false" customHeight="true" outlineLevel="0" collapsed="false">
      <c r="A13" s="60" t="s">
        <v>665</v>
      </c>
      <c r="B13" s="56" t="s">
        <v>664</v>
      </c>
      <c r="C13" s="133" t="n">
        <f aca="false">ROUND(Historical!C113-Historical!C61,1)</f>
        <v>0</v>
      </c>
      <c r="D13" s="133" t="n">
        <f aca="false">ROUND(Historical!D113-Historical!D61,1)</f>
        <v>0</v>
      </c>
      <c r="E13" s="133" t="n">
        <f aca="false">ROUND(Historical!E113-Historical!E61,1)</f>
        <v>0</v>
      </c>
      <c r="F13" s="133" t="n">
        <f aca="false">ROUND(Historical!F113-Historical!F61,1)</f>
        <v>0</v>
      </c>
      <c r="G13" s="133" t="n">
        <f aca="false">ROUND(Historical!G113-Historical!G61,1)</f>
        <v>0</v>
      </c>
      <c r="H13" s="133" t="n">
        <f aca="false">ROUND(Forecast!H113-Forecast!H61,1)</f>
        <v>0</v>
      </c>
      <c r="I13" s="133" t="n">
        <f aca="false">ROUND(Forecast!I113-Forecast!I61,1)</f>
        <v>0</v>
      </c>
      <c r="J13" s="133" t="n">
        <f aca="false">ROUND(Forecast!J113-Forecast!J61,1)</f>
        <v>0</v>
      </c>
    </row>
    <row r="14" customFormat="false" ht="15" hidden="false" customHeight="true" outlineLevel="0" collapsed="false">
      <c r="A14" s="60" t="s">
        <v>666</v>
      </c>
      <c r="B14" s="56" t="s">
        <v>86</v>
      </c>
      <c r="C14" s="133" t="n">
        <f aca="false">ROUND(Historical!C111-Historical!C114,1)</f>
        <v>0</v>
      </c>
      <c r="D14" s="133" t="n">
        <f aca="false">ROUND(Historical!D111-Historical!D114,1)</f>
        <v>0</v>
      </c>
      <c r="E14" s="133" t="n">
        <f aca="false">ROUND(Historical!E111-Historical!E114,1)</f>
        <v>-0</v>
      </c>
      <c r="F14" s="133" t="n">
        <f aca="false">ROUND(Historical!F111-Historical!F114,1)</f>
        <v>0</v>
      </c>
      <c r="G14" s="133" t="n">
        <f aca="false">ROUND(Historical!G111-Historical!G114,1)</f>
        <v>0</v>
      </c>
    </row>
    <row r="15" customFormat="false" ht="15" hidden="false" customHeight="true" outlineLevel="0" collapsed="false">
      <c r="A15" s="60" t="s">
        <v>667</v>
      </c>
      <c r="B15" s="56" t="s">
        <v>86</v>
      </c>
      <c r="C15" s="133" t="n">
        <f aca="false">ROUND(Historical!C138-Historical!C92,1)</f>
        <v>0</v>
      </c>
      <c r="D15" s="133" t="n">
        <f aca="false">ROUND(Historical!D138-Historical!D92,1)</f>
        <v>0</v>
      </c>
      <c r="E15" s="133" t="n">
        <f aca="false">ROUND(Historical!E138-Historical!E92,1)</f>
        <v>0</v>
      </c>
      <c r="F15" s="133" t="n">
        <f aca="false">ROUND(Historical!F138-Historical!F92,1)</f>
        <v>0</v>
      </c>
      <c r="G15" s="133" t="n">
        <f aca="false">ROUND(Historical!G138-Historical!G92,1)</f>
        <v>0</v>
      </c>
    </row>
    <row r="16" customFormat="false" ht="15" hidden="false" customHeight="true" outlineLevel="0" collapsed="false">
      <c r="A16" s="60" t="s">
        <v>668</v>
      </c>
      <c r="B16" s="56" t="s">
        <v>86</v>
      </c>
      <c r="C16" s="133" t="n">
        <f aca="false">ROUND(Historical!C121-Historical!C18,1)</f>
        <v>0</v>
      </c>
      <c r="D16" s="133" t="n">
        <f aca="false">ROUND(Historical!D121-Historical!D18,1)</f>
        <v>0</v>
      </c>
      <c r="E16" s="133" t="n">
        <f aca="false">ROUND(Historical!E121-Historical!E18,1)</f>
        <v>0</v>
      </c>
      <c r="F16" s="133" t="n">
        <f aca="false">ROUND(Historical!F121-Historical!F18,1)</f>
        <v>0</v>
      </c>
      <c r="G16" s="133" t="n">
        <f aca="false">ROUND(Historical!G121-Historical!G18,1)</f>
        <v>0</v>
      </c>
    </row>
    <row r="17" customFormat="false" ht="15" hidden="false" customHeight="true" outlineLevel="0" collapsed="false">
      <c r="A17" s="60" t="s">
        <v>669</v>
      </c>
      <c r="B17" s="56" t="s">
        <v>86</v>
      </c>
      <c r="C17" s="133" t="n">
        <f aca="false">ROUND(Historical!C46,1)</f>
        <v>0</v>
      </c>
      <c r="D17" s="133" t="n">
        <f aca="false">ROUND(Historical!D46,1)</f>
        <v>0</v>
      </c>
      <c r="E17" s="133" t="n">
        <f aca="false">ROUND(Historical!E46,1)</f>
        <v>0</v>
      </c>
      <c r="F17" s="133" t="n">
        <f aca="false">ROUND(Historical!F46,1)</f>
        <v>0</v>
      </c>
      <c r="G17" s="133" t="n">
        <f aca="false">ROUND(Historical!G46,1)</f>
        <v>0</v>
      </c>
    </row>
    <row r="19" customFormat="false" ht="15" hidden="false" customHeight="true" outlineLevel="0" collapsed="false">
      <c r="A19" s="77" t="s">
        <v>670</v>
      </c>
      <c r="C19" s="134" t="n">
        <f aca="false">SUMPRODUCT(ABS(C5:G17))</f>
        <v>0</v>
      </c>
    </row>
    <row r="20" customFormat="false" ht="15" hidden="false" customHeight="true" outlineLevel="0" collapsed="false">
      <c r="A20" s="77" t="s">
        <v>671</v>
      </c>
      <c r="C20" s="62" t="str">
        <f aca="false">IF(C19&lt;0.05,"OK","CHECK")</f>
        <v>OK</v>
      </c>
    </row>
    <row r="22" customFormat="false" ht="15" hidden="false" customHeight="true" outlineLevel="0" collapsed="false">
      <c r="A22" s="77" t="s">
        <v>672</v>
      </c>
    </row>
    <row r="23" customFormat="false" ht="15" hidden="false" customHeight="true" outlineLevel="0" collapsed="false">
      <c r="A23" s="60" t="s">
        <v>673</v>
      </c>
      <c r="B23" s="56" t="s">
        <v>97</v>
      </c>
      <c r="C23" s="133" t="n">
        <f aca="false">IF(COUNT('Tax &amp; Audit'!C9:C13)=0,"",IF(ABS('Tax &amp; Audit'!C16)&lt;0.15,0,ROUND('Tax &amp; Audit'!C16,1)))</f>
        <v>0</v>
      </c>
      <c r="D23" s="133" t="n">
        <f aca="false">IF(COUNT('Tax &amp; Audit'!D9:D13)=0,"",IF(ABS('Tax &amp; Audit'!D16)&lt;0.15,0,ROUND('Tax &amp; Audit'!D16,1)))</f>
        <v>0</v>
      </c>
      <c r="E23" s="133" t="n">
        <f aca="false">IF(COUNT('Tax &amp; Audit'!E9:E13)=0,"",IF(ABS('Tax &amp; Audit'!E16)&lt;0.15,0,ROUND('Tax &amp; Audit'!E16,1)))</f>
        <v>0</v>
      </c>
      <c r="F23" s="133" t="n">
        <f aca="false">IF(COUNT('Tax &amp; Audit'!F9:F13)=0,"",IF(ABS('Tax &amp; Audit'!F16)&lt;0.15,0,ROUND('Tax &amp; Audit'!F16,1)))</f>
        <v>0</v>
      </c>
      <c r="G23" s="133" t="n">
        <f aca="false">IF(COUNT('Tax &amp; Audit'!G9:G13)=0,"",IF(ABS('Tax &amp; Audit'!G16)&lt;0.15,0,ROUND('Tax &amp; Audit'!G16,1)))</f>
        <v>0</v>
      </c>
    </row>
    <row r="24" customFormat="false" ht="15" hidden="false" customHeight="true" outlineLevel="0" collapsed="false">
      <c r="A24" s="60" t="s">
        <v>674</v>
      </c>
      <c r="B24" s="56" t="s">
        <v>97</v>
      </c>
      <c r="C24" s="133" t="n">
        <f aca="false">IF(COUNT('Tax &amp; Audit'!C22:C23)=0,"",ROUND('Tax &amp; Audit'!C25,1))</f>
        <v>0</v>
      </c>
      <c r="D24" s="133" t="n">
        <f aca="false">IF(COUNT('Tax &amp; Audit'!D22:D23)=0,"",ROUND('Tax &amp; Audit'!D25,1))</f>
        <v>0</v>
      </c>
      <c r="E24" s="133" t="n">
        <f aca="false">IF(COUNT('Tax &amp; Audit'!E22:E23)=0,"",ROUND('Tax &amp; Audit'!E25,1))</f>
        <v>0</v>
      </c>
      <c r="F24" s="133" t="n">
        <f aca="false">IF(COUNT('Tax &amp; Audit'!F22:F23)=0,"",ROUND('Tax &amp; Audit'!F25,1))</f>
        <v>0</v>
      </c>
      <c r="G24" s="133" t="n">
        <f aca="false">IF(COUNT('Tax &amp; Audit'!G22:G23)=0,"",ROUND('Tax &amp; Audit'!G25,1))</f>
        <v>0</v>
      </c>
    </row>
    <row r="25" customFormat="false" ht="15" hidden="false" customHeight="true" outlineLevel="0" collapsed="false">
      <c r="A25" s="60" t="s">
        <v>675</v>
      </c>
      <c r="B25" s="56" t="s">
        <v>97</v>
      </c>
      <c r="C25" s="133" t="n">
        <f aca="false">IF(COUNT('Tax &amp; Audit'!C31:C33)=0,"",ROUND('Tax &amp; Audit'!C36,1))</f>
        <v>0</v>
      </c>
      <c r="D25" s="133" t="n">
        <f aca="false">IF(COUNT('Tax &amp; Audit'!D31:D33)=0,"",ROUND('Tax &amp; Audit'!D36,1))</f>
        <v>0</v>
      </c>
      <c r="E25" s="133" t="n">
        <f aca="false">IF(COUNT('Tax &amp; Audit'!E31:E33)=0,"",ROUND('Tax &amp; Audit'!E36,1))</f>
        <v>0</v>
      </c>
      <c r="F25" s="133" t="n">
        <f aca="false">IF(COUNT('Tax &amp; Audit'!F31:F33)=0,"",ROUND('Tax &amp; Audit'!F36,1))</f>
        <v>0</v>
      </c>
      <c r="G25" s="133" t="n">
        <f aca="false">IF(COUNT('Tax &amp; Audit'!G31:G33)=0,"",ROUND('Tax &amp; Audit'!G36,1))</f>
        <v>0</v>
      </c>
    </row>
    <row r="26" customFormat="false" ht="15" hidden="false" customHeight="true" outlineLevel="0" collapsed="false">
      <c r="A26" s="60" t="s">
        <v>676</v>
      </c>
      <c r="B26" s="56" t="s">
        <v>99</v>
      </c>
      <c r="C26" s="133"/>
      <c r="D26" s="133"/>
      <c r="E26" s="133"/>
      <c r="F26" s="133"/>
      <c r="G26" s="133"/>
      <c r="H26" s="135" t="n">
        <f aca="false">IF(Scenarios!$B$4&lt;&gt;"Base","",ROUND(Simulation!I9-Forecast!H25,1))</f>
        <v>-0</v>
      </c>
      <c r="I26" s="135" t="n">
        <f aca="false">IF(Scenarios!$B$4&lt;&gt;"Base","",ROUND(Simulation!I10-Forecast!I25,1))</f>
        <v>-0</v>
      </c>
      <c r="J26" s="135" t="n">
        <f aca="false">IF(Scenarios!$B$4&lt;&gt;"Base","",ROUND(Simulation!I11-Forecast!J25,1))</f>
        <v>-0</v>
      </c>
    </row>
    <row r="27" customFormat="false" ht="15" hidden="false" customHeight="true" outlineLevel="0" collapsed="false">
      <c r="A27" s="60" t="s">
        <v>677</v>
      </c>
      <c r="B27" s="56" t="s">
        <v>84</v>
      </c>
      <c r="C27" s="133"/>
      <c r="D27" s="133"/>
      <c r="E27" s="133"/>
      <c r="F27" s="133"/>
      <c r="G27" s="133"/>
      <c r="H27" s="135" t="n">
        <f aca="false">Summary!E38</f>
        <v>0</v>
      </c>
    </row>
    <row r="28" customFormat="false" ht="15" hidden="false" customHeight="true" outlineLevel="0" collapsed="false">
      <c r="A28" s="77" t="s">
        <v>678</v>
      </c>
    </row>
    <row r="29" customFormat="false" ht="18" hidden="false" customHeight="true" outlineLevel="0" collapsed="false">
      <c r="A29" s="47" t="s">
        <v>679</v>
      </c>
      <c r="B29" s="47" t="s">
        <v>349</v>
      </c>
      <c r="C29" s="47" t="s">
        <v>680</v>
      </c>
      <c r="D29" s="136" t="s">
        <v>681</v>
      </c>
      <c r="E29" s="136"/>
      <c r="F29" s="136"/>
      <c r="G29" s="136"/>
      <c r="H29" s="136"/>
      <c r="I29" s="136"/>
      <c r="J29" s="136"/>
    </row>
    <row r="30" customFormat="false" ht="31.5" hidden="false" customHeight="true" outlineLevel="0" collapsed="false">
      <c r="A30" s="40" t="s">
        <v>682</v>
      </c>
      <c r="B30" s="49" t="s">
        <v>683</v>
      </c>
      <c r="C30" s="49" t="s">
        <v>684</v>
      </c>
      <c r="D30" s="137" t="s">
        <v>685</v>
      </c>
      <c r="E30" s="137"/>
      <c r="F30" s="137"/>
      <c r="G30" s="137"/>
      <c r="H30" s="137"/>
      <c r="I30" s="137"/>
      <c r="J30" s="137"/>
    </row>
    <row r="31" customFormat="false" ht="31.5" hidden="false" customHeight="true" outlineLevel="0" collapsed="false">
      <c r="A31" s="40" t="s">
        <v>686</v>
      </c>
      <c r="B31" s="49" t="s">
        <v>683</v>
      </c>
      <c r="C31" s="49" t="s">
        <v>684</v>
      </c>
      <c r="D31" s="137" t="s">
        <v>687</v>
      </c>
      <c r="E31" s="137"/>
      <c r="F31" s="137"/>
      <c r="G31" s="137"/>
      <c r="H31" s="137"/>
      <c r="I31" s="137"/>
      <c r="J31" s="137"/>
    </row>
    <row r="32" customFormat="false" ht="60" hidden="false" customHeight="true" outlineLevel="0" collapsed="false">
      <c r="A32" s="40" t="s">
        <v>688</v>
      </c>
      <c r="B32" s="49" t="s">
        <v>689</v>
      </c>
      <c r="C32" s="49" t="s">
        <v>684</v>
      </c>
      <c r="D32" s="137" t="s">
        <v>690</v>
      </c>
      <c r="E32" s="137"/>
      <c r="F32" s="137"/>
      <c r="G32" s="137"/>
      <c r="H32" s="137"/>
      <c r="I32" s="137"/>
      <c r="J32" s="137"/>
    </row>
    <row r="33" customFormat="false" ht="31.5" hidden="false" customHeight="true" outlineLevel="0" collapsed="false">
      <c r="A33" s="40" t="s">
        <v>691</v>
      </c>
      <c r="B33" s="49" t="s">
        <v>683</v>
      </c>
      <c r="C33" s="49" t="s">
        <v>684</v>
      </c>
      <c r="D33" s="137" t="s">
        <v>692</v>
      </c>
      <c r="E33" s="137"/>
      <c r="F33" s="137"/>
      <c r="G33" s="137"/>
      <c r="H33" s="137"/>
      <c r="I33" s="137"/>
      <c r="J33" s="137"/>
    </row>
    <row r="34" customFormat="false" ht="31.5" hidden="false" customHeight="true" outlineLevel="0" collapsed="false">
      <c r="A34" s="40" t="s">
        <v>693</v>
      </c>
      <c r="B34" s="49" t="s">
        <v>683</v>
      </c>
      <c r="C34" s="49" t="s">
        <v>684</v>
      </c>
      <c r="D34" s="137" t="s">
        <v>694</v>
      </c>
      <c r="E34" s="137"/>
      <c r="F34" s="137"/>
      <c r="G34" s="137"/>
      <c r="H34" s="137"/>
      <c r="I34" s="137"/>
      <c r="J34" s="137"/>
    </row>
    <row r="35" customFormat="false" ht="31.5" hidden="false" customHeight="true" outlineLevel="0" collapsed="false">
      <c r="A35" s="40" t="s">
        <v>695</v>
      </c>
      <c r="B35" s="49" t="s">
        <v>683</v>
      </c>
      <c r="C35" s="49" t="s">
        <v>684</v>
      </c>
      <c r="D35" s="137" t="s">
        <v>696</v>
      </c>
      <c r="E35" s="137"/>
      <c r="F35" s="137"/>
      <c r="G35" s="137"/>
      <c r="H35" s="137"/>
      <c r="I35" s="137"/>
      <c r="J35" s="137"/>
    </row>
  </sheetData>
  <mergeCells count="8">
    <mergeCell ref="A2:J2"/>
    <mergeCell ref="D29:J29"/>
    <mergeCell ref="D30:J30"/>
    <mergeCell ref="D31:J31"/>
    <mergeCell ref="D32:J32"/>
    <mergeCell ref="D33:J33"/>
    <mergeCell ref="D34:J34"/>
    <mergeCell ref="D35:J35"/>
  </mergeCells>
  <conditionalFormatting sqref="C5:J17">
    <cfRule type="expression" priority="2" aboveAverage="0" equalAverage="0" bottom="0" percent="0" rank="0" text="" dxfId="2">
      <formula>AND(C5&lt;&gt;"",ABS(C5)&gt;=0.05)</formula>
    </cfRule>
    <cfRule type="expression" priority="3" aboveAverage="0" equalAverage="0" bottom="0" percent="0" rank="0" text="" dxfId="0">
      <formula>AND(C5&lt;&gt;"",ABS(C5)&lt;0.05)</formula>
    </cfRule>
  </conditionalFormatting>
  <conditionalFormatting sqref="C20">
    <cfRule type="expression" priority="4" aboveAverage="0" equalAverage="0" bottom="0" percent="0" rank="0" text="" dxfId="0">
      <formula>C20="OK"</formula>
    </cfRule>
    <cfRule type="expression" priority="5" aboveAverage="0" equalAverage="0" bottom="0" percent="0" rank="0" text="" dxfId="2">
      <formula>C20&lt;&gt;"OK"</formula>
    </cfRule>
  </conditionalFormatting>
  <conditionalFormatting sqref="C23:G25">
    <cfRule type="expression" priority="6" aboveAverage="0" equalAverage="0" bottom="0" percent="0" rank="0" text="" dxfId="2">
      <formula>AND(C23&lt;&gt;"",ABS(C23)&gt;=0.05)</formula>
    </cfRule>
    <cfRule type="expression" priority="7" aboveAverage="0" equalAverage="0" bottom="0" percent="0" rank="0" text="" dxfId="0">
      <formula>AND(C23&lt;&gt;"",ABS(C23)&lt;0.05)</formula>
    </cfRule>
  </conditionalFormatting>
  <conditionalFormatting sqref="H26:J27">
    <cfRule type="expression" priority="8" aboveAverage="0" equalAverage="0" bottom="0" percent="0" rank="0" text="" dxfId="1">
      <formula>AND(H26&lt;&gt;"",ABS(H26)&gt;=0.05)</formula>
    </cfRule>
    <cfRule type="expression" priority="9" aboveAverage="0" equalAverage="0" bottom="0" percent="0" rank="0" text="" dxfId="0">
      <formula>AND(H26&lt;&gt;"",ABS(H26)&lt;0.05)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2026-10-11T16:56:52Z</dcterms:created>
  <dc:creator>openpyxl</dc:creator>
  <dc:description/>
  <dc:language>en-US</dc:language>
  <cp:lastModifiedBy>Rama Attuluri (BSc Business Management)</cp:lastModifiedBy>
  <dcterms:modified xsi:type="dcterms:W3CDTF">2026-10-11T19:07:29Z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